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fileSharing readOnlyRecommended="1"/>
  <workbookPr codeName="ThisWorkbook"/>
  <bookViews>
    <workbookView xWindow="0" yWindow="0" windowWidth="11940" windowHeight="5145" tabRatio="923" firstSheet="8" activeTab="9"/>
  </bookViews>
  <sheets>
    <sheet name="表紙" sheetId="1" r:id="rId1"/>
    <sheet name="テーブル一覧" sheetId="2" r:id="rId2"/>
    <sheet name="麦品_catalog_product_entity" sheetId="16" r:id="rId3"/>
    <sheet name="麦品_c_p_e_datetime" sheetId="17" r:id="rId4"/>
    <sheet name="麦品_c_p_e_decimal" sheetId="18" r:id="rId5"/>
    <sheet name="麦品_c_p_e_int" sheetId="19" r:id="rId6"/>
    <sheet name="麦品_c_p_e_text" sheetId="20" r:id="rId7"/>
    <sheet name="麦品_c_p_e_varchar" sheetId="21" r:id="rId8"/>
    <sheet name="麦米_eav_entity_store" sheetId="3" r:id="rId9"/>
    <sheet name="麦米_eav_entity_type" sheetId="4" r:id="rId10"/>
    <sheet name="麦米_eav_entity" sheetId="5" r:id="rId11"/>
    <sheet name="麦米_eav_entity_datetime" sheetId="6" r:id="rId12"/>
    <sheet name="麦米_eav_entity_decimal" sheetId="7" r:id="rId13"/>
    <sheet name="麦米_eav_entity_int" sheetId="8" r:id="rId14"/>
    <sheet name="麦米_eav_entity_text" sheetId="9" r:id="rId15"/>
    <sheet name="麦米_eav_entity_varchar" sheetId="10" r:id="rId16"/>
    <sheet name="麦米_eav_attribute_set" sheetId="11" r:id="rId17"/>
    <sheet name="麦米_eav_attribute_group" sheetId="12" r:id="rId18"/>
    <sheet name="麦米_eav_attribute" sheetId="13" r:id="rId19"/>
    <sheet name="麦米_eav_attribute_option" sheetId="14" r:id="rId20"/>
    <sheet name="麦米_eav_attribute_option_value" sheetId="15" r:id="rId21"/>
  </sheets>
  <definedNames>
    <definedName name="_xlnm._FilterDatabase" localSheetId="1" hidden="1">テーブル一覧!$A$1:$I$10</definedName>
    <definedName name="_xlnm.Print_Area" localSheetId="3">麦品_c_p_e_datetime!$A$1:$BB$11</definedName>
    <definedName name="_xlnm.Print_Area" localSheetId="4">麦品_c_p_e_decimal!$A$1:$BB$11</definedName>
    <definedName name="_xlnm.Print_Area" localSheetId="5">麦品_c_p_e_int!$A$1:$BB$11</definedName>
    <definedName name="_xlnm.Print_Area" localSheetId="6">麦品_c_p_e_text!$A$1:$BB$11</definedName>
    <definedName name="_xlnm.Print_Area" localSheetId="7">麦品_c_p_e_varchar!$A$1:$BB$11</definedName>
    <definedName name="_xlnm.Print_Area" localSheetId="2">麦品_catalog_product_entity!$A$1:$BB$16</definedName>
    <definedName name="_xlnm.Print_Area" localSheetId="18">麦米_eav_attribute!$A$1:$BB$38</definedName>
    <definedName name="_xlnm.Print_Area" localSheetId="17">麦米_eav_attribute_group!$A$1:$BB$10</definedName>
    <definedName name="_xlnm.Print_Area" localSheetId="19">麦米_eav_attribute_option!$A$1:$BB$8</definedName>
    <definedName name="_xlnm.Print_Area" localSheetId="20">麦米_eav_attribute_option_value!$A$1:$BB$9</definedName>
    <definedName name="_xlnm.Print_Area" localSheetId="16">麦米_eav_attribute_set!$A$1:$BB$9</definedName>
    <definedName name="_xlnm.Print_Area" localSheetId="10">麦米_eav_entity!$A$1:$BB$14</definedName>
    <definedName name="_xlnm.Print_Area" localSheetId="11">麦米_eav_entity_datetime!$A$1:$BB$11</definedName>
    <definedName name="_xlnm.Print_Area" localSheetId="12">麦米_eav_entity_decimal!$A$1:$BB$11</definedName>
    <definedName name="_xlnm.Print_Area" localSheetId="13">麦米_eav_entity_int!$A$1:$BB$11</definedName>
    <definedName name="_xlnm.Print_Area" localSheetId="8">麦米_eav_entity_store!$A$1:$BB$10</definedName>
    <definedName name="_xlnm.Print_Area" localSheetId="14">麦米_eav_entity_text!$A$1:$BB$11</definedName>
    <definedName name="_xlnm.Print_Area" localSheetId="9">麦米_eav_entity_type!$A$1:$BB$19</definedName>
    <definedName name="_xlnm.Print_Area" localSheetId="15">麦米_eav_entity_varchar!$A$1:$BB$11</definedName>
    <definedName name="_xlnm.Print_Titles" localSheetId="3">麦品_c_p_e_datetime!$1:$5</definedName>
    <definedName name="_xlnm.Print_Titles" localSheetId="4">麦品_c_p_e_decimal!$1:$5</definedName>
    <definedName name="_xlnm.Print_Titles" localSheetId="5">麦品_c_p_e_int!$1:$5</definedName>
    <definedName name="_xlnm.Print_Titles" localSheetId="6">麦品_c_p_e_text!$1:$5</definedName>
    <definedName name="_xlnm.Print_Titles" localSheetId="7">麦品_c_p_e_varchar!$1:$5</definedName>
    <definedName name="_xlnm.Print_Titles" localSheetId="2">麦品_catalog_product_entity!$1:$5</definedName>
    <definedName name="_xlnm.Print_Titles" localSheetId="18">麦米_eav_attribute!$1:$5</definedName>
    <definedName name="_xlnm.Print_Titles" localSheetId="17">麦米_eav_attribute_group!$1:$5</definedName>
    <definedName name="_xlnm.Print_Titles" localSheetId="19">麦米_eav_attribute_option!$1:$5</definedName>
    <definedName name="_xlnm.Print_Titles" localSheetId="20">麦米_eav_attribute_option_value!$1:$5</definedName>
    <definedName name="_xlnm.Print_Titles" localSheetId="16">麦米_eav_attribute_set!$1:$5</definedName>
    <definedName name="_xlnm.Print_Titles" localSheetId="10">麦米_eav_entity!$1:$5</definedName>
    <definedName name="_xlnm.Print_Titles" localSheetId="11">麦米_eav_entity_datetime!$1:$5</definedName>
    <definedName name="_xlnm.Print_Titles" localSheetId="12">麦米_eav_entity_decimal!$1:$5</definedName>
    <definedName name="_xlnm.Print_Titles" localSheetId="13">麦米_eav_entity_int!$1:$5</definedName>
    <definedName name="_xlnm.Print_Titles" localSheetId="8">麦米_eav_entity_store!$1:$5</definedName>
    <definedName name="_xlnm.Print_Titles" localSheetId="14">麦米_eav_entity_text!$1:$5</definedName>
    <definedName name="_xlnm.Print_Titles" localSheetId="9">麦米_eav_entity_type!$1:$5</definedName>
    <definedName name="_xlnm.Print_Titles" localSheetId="15">麦米_eav_entity_varchar!$1:$5</definedName>
  </definedNames>
  <calcPr calcId="124519"/>
</workbook>
</file>

<file path=xl/calcChain.xml><?xml version="1.0" encoding="utf-8"?>
<calcChain xmlns="http://schemas.openxmlformats.org/spreadsheetml/2006/main">
  <c r="E9" i="2"/>
  <c r="E8"/>
  <c r="E7"/>
  <c r="E6"/>
  <c r="E5"/>
  <c r="E4"/>
  <c r="E22"/>
  <c r="E21"/>
  <c r="E20"/>
  <c r="E19"/>
  <c r="E18"/>
  <c r="E17"/>
  <c r="E16"/>
  <c r="E15"/>
  <c r="E14"/>
  <c r="E13"/>
  <c r="E12"/>
  <c r="E11"/>
  <c r="E10" l="1"/>
</calcChain>
</file>

<file path=xl/sharedStrings.xml><?xml version="1.0" encoding="utf-8"?>
<sst xmlns="http://schemas.openxmlformats.org/spreadsheetml/2006/main" count="1234" uniqueCount="184">
  <si>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</si>
  <si>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</si>
  <si>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</si>
  <si>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</si>
  <si>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</si>
  <si>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</si>
  <si>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</si>
  <si>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</si>
  <si>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</si>
  <si>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</si>
  <si>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ユor麦</t>
    <rPh sb="3" eb="4">
      <t>ムギ</t>
    </rPh>
    <phoneticPr fontId="6"/>
  </si>
  <si>
    <t>麦</t>
    <rPh sb="0" eb="1">
      <t>ムギ</t>
    </rPh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</si>
  <si>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</si>
  <si>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</si>
  <si>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</si>
  <si>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</si>
  <si>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</si>
  <si>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</si>
  <si>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</si>
  <si>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</si>
  <si>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</si>
  <si>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</si>
  <si>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</si>
  <si>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</si>
  <si>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</si>
  <si>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</si>
  <si>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</si>
  <si>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</si>
  <si>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</si>
  <si>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</si>
  <si>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</si>
  <si>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</si>
  <si>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</si>
  <si>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</si>
  <si>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3</t>
    <phoneticPr fontId="6"/>
  </si>
  <si>
    <t>4</t>
  </si>
  <si>
    <t>int</t>
  </si>
  <si>
    <t>5</t>
  </si>
  <si>
    <t>smallint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</si>
  <si>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</si>
  <si>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</si>
  <si>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</si>
  <si>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</si>
  <si>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</si>
  <si>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</si>
  <si>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</si>
  <si>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</si>
  <si>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</si>
  <si>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datetime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</si>
  <si>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</si>
  <si>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</si>
  <si>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</si>
  <si>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</si>
  <si>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</si>
  <si>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</si>
  <si>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</si>
  <si>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</si>
  <si>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</si>
  <si>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tinyint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</si>
  <si>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</si>
  <si>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</si>
  <si>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</si>
  <si>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</si>
  <si>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</si>
  <si>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</si>
  <si>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</si>
  <si>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</si>
  <si>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</si>
  <si>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</si>
  <si>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50</t>
  </si>
  <si>
    <t>Sacdepmoi</t>
  </si>
  <si>
    <t>entity_store_id</t>
  </si>
  <si>
    <t>entity_type_id</t>
  </si>
  <si>
    <t>store_id</t>
  </si>
  <si>
    <t>increment_prefix</t>
  </si>
  <si>
    <t>increment_last_id</t>
  </si>
  <si>
    <t>identity</t>
  </si>
  <si>
    <t>eav_entity_store</t>
  </si>
  <si>
    <t>eav_entity_type</t>
  </si>
  <si>
    <t>米属性</t>
  </si>
  <si>
    <t>entity_type_code</t>
  </si>
  <si>
    <t>entity_model</t>
  </si>
  <si>
    <t>255</t>
  </si>
  <si>
    <t>attribute_model</t>
  </si>
  <si>
    <t>entity_table</t>
  </si>
  <si>
    <t>○</t>
  </si>
  <si>
    <t>value_table_prefix</t>
  </si>
  <si>
    <t>entity_id_field</t>
  </si>
  <si>
    <t>is_data_sharing</t>
  </si>
  <si>
    <t>data_sharing_key</t>
  </si>
  <si>
    <t>100</t>
  </si>
  <si>
    <t>default_attribute_set_id</t>
  </si>
  <si>
    <t>increment_model</t>
  </si>
  <si>
    <t>increment_per_store</t>
  </si>
  <si>
    <t>1</t>
  </si>
  <si>
    <t>increment_pad_length</t>
  </si>
  <si>
    <t>increment_pad_char</t>
  </si>
  <si>
    <t>char</t>
  </si>
  <si>
    <t>3</t>
  </si>
  <si>
    <t>eav_entity</t>
  </si>
  <si>
    <t>2010/03/15</t>
  </si>
  <si>
    <t>2020/03/15</t>
  </si>
  <si>
    <t>attribute_set_id</t>
  </si>
  <si>
    <t>increment_id</t>
  </si>
  <si>
    <t>parent_id</t>
  </si>
  <si>
    <t>FK</t>
  </si>
  <si>
    <t>create_at</t>
  </si>
  <si>
    <t>update_at</t>
  </si>
  <si>
    <t>is_active</t>
  </si>
  <si>
    <t>eav_entity_datetime</t>
  </si>
  <si>
    <t>eav_entity_decimal</t>
  </si>
  <si>
    <t>eav_entity_int</t>
  </si>
  <si>
    <t>eav_entity_text</t>
  </si>
  <si>
    <t>value_id</t>
  </si>
  <si>
    <t>attribute_id</t>
  </si>
  <si>
    <t>entity_id</t>
  </si>
  <si>
    <t>value</t>
  </si>
  <si>
    <t>decimal</t>
  </si>
  <si>
    <t>12,4</t>
  </si>
  <si>
    <t>text</t>
  </si>
  <si>
    <t>eav_entity_varchar</t>
  </si>
  <si>
    <t>eav_attribute_set</t>
  </si>
  <si>
    <t>eav_attribute_group</t>
  </si>
  <si>
    <t>attribute_set_name</t>
  </si>
  <si>
    <t>sort_order</t>
  </si>
  <si>
    <t>eav_attribute</t>
  </si>
  <si>
    <t>attribute_group_id</t>
  </si>
  <si>
    <t>attribute_group_name</t>
  </si>
  <si>
    <t>default_id</t>
  </si>
  <si>
    <t>attribute_code</t>
  </si>
  <si>
    <t>backend_type</t>
  </si>
  <si>
    <t>backend_table</t>
  </si>
  <si>
    <t>fontend_model</t>
  </si>
  <si>
    <t>fontend_input</t>
  </si>
  <si>
    <t>fontend_input_renderer</t>
  </si>
  <si>
    <t>fontend_class</t>
  </si>
  <si>
    <t>source_model</t>
  </si>
  <si>
    <t>is_global</t>
  </si>
  <si>
    <t>is_visible</t>
  </si>
  <si>
    <t>is_required</t>
  </si>
  <si>
    <t>is_user_defined</t>
  </si>
  <si>
    <t>default_value</t>
  </si>
  <si>
    <t>is_searchable</t>
  </si>
  <si>
    <t>is_comparable</t>
  </si>
  <si>
    <t>is_visible_on_font</t>
  </si>
  <si>
    <t>is_html_allowed_on_font</t>
  </si>
  <si>
    <t>is_unique</t>
  </si>
  <si>
    <t>is_used_for_price_rules</t>
  </si>
  <si>
    <t>is_filterable</t>
  </si>
  <si>
    <t>is_filterable_in_search</t>
  </si>
  <si>
    <t>used_in_product_listing</t>
  </si>
  <si>
    <t>used_for_sort_by</t>
  </si>
  <si>
    <t>is_configurable</t>
  </si>
  <si>
    <t>apply_to</t>
  </si>
  <si>
    <t>position</t>
  </si>
  <si>
    <t>note</t>
  </si>
  <si>
    <t>is_visible_in_advanced_search</t>
  </si>
  <si>
    <t>eav_attribute_option</t>
  </si>
  <si>
    <t>option_id</t>
  </si>
  <si>
    <t>eav_attribute_option_value</t>
  </si>
  <si>
    <t>backend_model</t>
  </si>
  <si>
    <t>fonted_label</t>
  </si>
  <si>
    <t>品物</t>
  </si>
  <si>
    <t>type_id</t>
  </si>
  <si>
    <t>sku</t>
  </si>
  <si>
    <t>64</t>
  </si>
  <si>
    <t>category_ids</t>
  </si>
  <si>
    <t>created_at</t>
  </si>
  <si>
    <t>updated_at</t>
  </si>
  <si>
    <t>has_options</t>
  </si>
  <si>
    <t>required_options</t>
  </si>
  <si>
    <t>catalog_propduct_entity</t>
  </si>
  <si>
    <t>catalog_product_entity</t>
  </si>
  <si>
    <t>c_p_e_datetime</t>
  </si>
  <si>
    <t>catalog_propduct_entity_datetime</t>
  </si>
  <si>
    <t>c_p_e_decimal</t>
  </si>
  <si>
    <r>
      <t>c_p_e</t>
    </r>
    <r>
      <rPr>
        <sz val="10"/>
        <rFont val="Meiryo UI"/>
        <family val="3"/>
        <charset val="128"/>
      </rPr>
      <t>_int</t>
    </r>
  </si>
  <si>
    <t>c_p_e_text</t>
  </si>
  <si>
    <t>c_p_e_varchar</t>
  </si>
  <si>
    <t>catalog_propduct_entity_decimal</t>
  </si>
  <si>
    <t>catalog_propduct_entity_int</t>
  </si>
  <si>
    <t>catalog_propduct_entity_text</t>
  </si>
  <si>
    <t>catalog_propduct_entity_varchar</t>
  </si>
  <si>
    <t>enum('static','datetime','decimal','int','text','varchar')</t>
  </si>
</sst>
</file>

<file path=xl/styles.xml><?xml version="1.0" encoding="utf-8"?>
<styleSheet xmlns="http://schemas.openxmlformats.org/spreadsheetml/2006/main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7">
    <font>
      <sz val="11"/>
      <name val="ＭＳ Ｐゴシック"/>
      <family val="3"/>
      <charset val="128"/>
    </font>
    <font>
      <sz val="11"/>
      <color theme="1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Arial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name val="Meiryo U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0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4" xfId="0" applyFont="1" applyFill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30" borderId="4" xfId="0" applyFont="1" applyFill="1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0" fontId="56" fillId="0" borderId="4" xfId="0" applyFont="1" applyFill="1" applyBorder="1" applyAlignment="1">
      <alignment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</cellXfs>
  <cellStyles count="132">
    <cellStyle name="1" xfId="1"/>
    <cellStyle name="1_02.会社に依存するマスタ" xfId="2"/>
    <cellStyle name="1_業務フロー" xfId="3"/>
    <cellStyle name="20% - アクセント 1 2" xfId="4"/>
    <cellStyle name="20% - アクセント 2 2" xfId="5"/>
    <cellStyle name="20% - アクセント 3 2" xfId="6"/>
    <cellStyle name="20% - アクセント 4 2" xfId="7"/>
    <cellStyle name="20% - アクセント 5 2" xfId="8"/>
    <cellStyle name="20% - アクセント 6 2" xfId="9"/>
    <cellStyle name="40% - アクセント 1 2" xfId="10"/>
    <cellStyle name="40% - アクセント 2 2" xfId="11"/>
    <cellStyle name="40% - アクセント 3 2" xfId="12"/>
    <cellStyle name="40% - アクセント 4 2" xfId="13"/>
    <cellStyle name="40% - アクセント 5 2" xfId="14"/>
    <cellStyle name="40% - アクセント 6 2" xfId="15"/>
    <cellStyle name="60% - アクセント 1 2" xfId="16"/>
    <cellStyle name="60% - アクセント 2 2" xfId="17"/>
    <cellStyle name="60% - アクセント 3 2" xfId="18"/>
    <cellStyle name="60% - アクセント 4 2" xfId="19"/>
    <cellStyle name="60% - アクセント 5 2" xfId="20"/>
    <cellStyle name="60% - アクセント 6 2" xfId="21"/>
    <cellStyle name="Calc Currency (0)" xfId="22"/>
    <cellStyle name="dialog" xfId="23"/>
    <cellStyle name="dialog 2" xfId="24"/>
    <cellStyle name="dialog 2 2" xfId="115"/>
    <cellStyle name="entry" xfId="25"/>
    <cellStyle name="Grey" xfId="26"/>
    <cellStyle name="Header1" xfId="27"/>
    <cellStyle name="Header2" xfId="28"/>
    <cellStyle name="Header2 2" xfId="29"/>
    <cellStyle name="Header2 2 2" xfId="30"/>
    <cellStyle name="Header2 3" xfId="31"/>
    <cellStyle name="Hyperlink" xfId="59" builtinId="8"/>
    <cellStyle name="Input [yellow]" xfId="32"/>
    <cellStyle name="Input [yellow] 2" xfId="33"/>
    <cellStyle name="Input [yellow] 2 2" xfId="34"/>
    <cellStyle name="Input [yellow] 3" xfId="35"/>
    <cellStyle name="Milliers [0]_AR1194" xfId="36"/>
    <cellStyle name="Milliers_AR1194" xfId="37"/>
    <cellStyle name="Mon騁aire [0]_AR1194" xfId="38"/>
    <cellStyle name="Mon騁aire_AR1194" xfId="39"/>
    <cellStyle name="Normal" xfId="0" builtinId="0"/>
    <cellStyle name="Normal - Style1" xfId="40"/>
    <cellStyle name="Percent [2]" xfId="41"/>
    <cellStyle name="price" xfId="42"/>
    <cellStyle name="PSChar" xfId="43"/>
    <cellStyle name="PSHeading" xfId="44"/>
    <cellStyle name="PSHeading 2" xfId="45"/>
    <cellStyle name="PSHeading 3" xfId="46"/>
    <cellStyle name="revised" xfId="47"/>
    <cellStyle name="section" xfId="48"/>
    <cellStyle name="title" xfId="49"/>
    <cellStyle name="アクセント 1 2" xfId="50"/>
    <cellStyle name="アクセント 2 2" xfId="51"/>
    <cellStyle name="アクセント 3 2" xfId="52"/>
    <cellStyle name="アクセント 4 2" xfId="53"/>
    <cellStyle name="アクセント 5 2" xfId="54"/>
    <cellStyle name="アクセント 6 2" xfId="55"/>
    <cellStyle name="タイトル 2" xfId="56"/>
    <cellStyle name="チェック セル 2" xfId="57"/>
    <cellStyle name="どちらでもない 2" xfId="58"/>
    <cellStyle name="ハイパーリンク 2" xfId="60"/>
    <cellStyle name="メモ 2" xfId="61"/>
    <cellStyle name="リンク セル 2" xfId="62"/>
    <cellStyle name="入力 2" xfId="79"/>
    <cellStyle name="出力 2" xfId="75"/>
    <cellStyle name="悪い 2" xfId="63"/>
    <cellStyle name="桁区切り 2" xfId="68"/>
    <cellStyle name="桁区切り 2 2" xfId="116"/>
    <cellStyle name="桁区切り 3" xfId="69"/>
    <cellStyle name="桁蟻唇Ｆ [0.00]_laroux" xfId="66"/>
    <cellStyle name="桁蟻唇Ｆ_laroux" xfId="67"/>
    <cellStyle name="標準 10" xfId="80"/>
    <cellStyle name="標準 11" xfId="81"/>
    <cellStyle name="標準 11 2" xfId="117"/>
    <cellStyle name="標準 12" xfId="82"/>
    <cellStyle name="標準 13" xfId="83"/>
    <cellStyle name="標準 14" xfId="84"/>
    <cellStyle name="標準 15" xfId="114"/>
    <cellStyle name="標準 16" xfId="113"/>
    <cellStyle name="標準 2" xfId="85"/>
    <cellStyle name="標準 2 2" xfId="86"/>
    <cellStyle name="標準 2 2 2" xfId="119"/>
    <cellStyle name="標準 2 3" xfId="87"/>
    <cellStyle name="標準 2 3 2" xfId="120"/>
    <cellStyle name="標準 2 4" xfId="118"/>
    <cellStyle name="標準 3" xfId="88"/>
    <cellStyle name="標準 3 2" xfId="89"/>
    <cellStyle name="標準 3 2 2" xfId="90"/>
    <cellStyle name="標準 3 2 2 2" xfId="121"/>
    <cellStyle name="標準 3 2 3" xfId="112"/>
    <cellStyle name="標準 3 3" xfId="91"/>
    <cellStyle name="標準 3 3 2" xfId="122"/>
    <cellStyle name="標準 3 4" xfId="92"/>
    <cellStyle name="標準 3 4 2" xfId="123"/>
    <cellStyle name="標準 3 5" xfId="93"/>
    <cellStyle name="標準 3 6" xfId="94"/>
    <cellStyle name="標準 3 6 2" xfId="124"/>
    <cellStyle name="標準 3_DB定義図＿WRS" xfId="95"/>
    <cellStyle name="標準 4" xfId="96"/>
    <cellStyle name="標準 4 2" xfId="97"/>
    <cellStyle name="標準 4 2 2" xfId="126"/>
    <cellStyle name="標準 4 3" xfId="125"/>
    <cellStyle name="標準 5" xfId="98"/>
    <cellStyle name="標準 5 2" xfId="99"/>
    <cellStyle name="標準 5 2 2" xfId="128"/>
    <cellStyle name="標準 5 3" xfId="100"/>
    <cellStyle name="標準 5 3 2" xfId="129"/>
    <cellStyle name="標準 5 4" xfId="101"/>
    <cellStyle name="標準 5 5" xfId="102"/>
    <cellStyle name="標準 5 5 2" xfId="130"/>
    <cellStyle name="標準 5 6" xfId="127"/>
    <cellStyle name="標準 6" xfId="103"/>
    <cellStyle name="標準 6 2" xfId="104"/>
    <cellStyle name="標準 6 3" xfId="105"/>
    <cellStyle name="標準 6 4" xfId="106"/>
    <cellStyle name="標準 7" xfId="107"/>
    <cellStyle name="標準 8" xfId="108"/>
    <cellStyle name="標準 8 2" xfId="131"/>
    <cellStyle name="標準 9" xfId="109"/>
    <cellStyle name="標準_要件定義書" xfId="110"/>
    <cellStyle name="脱浦 [0.00]_laroux" xfId="77"/>
    <cellStyle name="脱浦_laroux" xfId="78"/>
    <cellStyle name="良い 2" xfId="111"/>
    <cellStyle name="見出し 1 2" xfId="70"/>
    <cellStyle name="見出し 2 2" xfId="71"/>
    <cellStyle name="見出し 3 2" xfId="72"/>
    <cellStyle name="見出し 4 2" xfId="73"/>
    <cellStyle name="計算 2" xfId="64"/>
    <cellStyle name="説明文 2" xfId="76"/>
    <cellStyle name="警告文 2" xfId="65"/>
    <cellStyle name="集計 2" xfId="74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22"/>
  <sheetViews>
    <sheetView showGridLines="0" workbookViewId="0">
      <pane ySplit="3" topLeftCell="A4" activePane="bottomLeft" state="frozen"/>
      <selection sqref="A1:H3"/>
      <selection pane="bottomLeft" activeCell="E6" sqref="E6"/>
    </sheetView>
  </sheetViews>
  <sheetFormatPr defaultColWidth="2.625" defaultRowHeight="15" customHeight="1"/>
  <cols>
    <col min="1" max="1" width="3.625" style="21" customWidth="1"/>
    <col min="2" max="2" width="6.625" style="31" bestFit="1" customWidth="1"/>
    <col min="3" max="3" width="17.875" style="21" bestFit="1" customWidth="1"/>
    <col min="4" max="4" width="29" style="21" customWidth="1"/>
    <col min="5" max="5" width="32.125" style="21" bestFit="1" customWidth="1"/>
    <col min="6" max="6" width="29.375" style="21" customWidth="1"/>
    <col min="7" max="7" width="12.5" style="21" bestFit="1" customWidth="1"/>
    <col min="8" max="8" width="10.25" style="21" customWidth="1"/>
    <col min="9" max="12" width="2.625" style="21"/>
    <col min="13" max="13" width="4.5" style="21" bestFit="1" customWidth="1"/>
    <col min="14" max="16384" width="2.625" style="21"/>
  </cols>
  <sheetData>
    <row r="1" spans="1:32" s="20" customFormat="1" ht="15.95" customHeight="1">
      <c r="A1" s="17"/>
      <c r="B1" s="17"/>
      <c r="C1" s="17"/>
      <c r="D1" s="113" t="s">
        <v>0</v>
      </c>
      <c r="E1" s="113"/>
      <c r="F1" s="18" t="s">
        <v>1</v>
      </c>
    </row>
    <row r="2" spans="1:32" ht="15" customHeight="1">
      <c r="D2" s="114"/>
      <c r="E2" s="114"/>
      <c r="F2" s="22" t="s">
        <v>70</v>
      </c>
      <c r="X2" s="23"/>
      <c r="Y2" s="23"/>
      <c r="Z2" s="23"/>
      <c r="AA2" s="23"/>
      <c r="AB2" s="23"/>
      <c r="AC2" s="23"/>
      <c r="AD2" s="23"/>
      <c r="AE2" s="23"/>
      <c r="AF2" s="23"/>
    </row>
    <row r="3" spans="1:32" ht="15" customHeight="1">
      <c r="A3" s="26" t="s">
        <v>4</v>
      </c>
      <c r="B3" s="30" t="s">
        <v>10</v>
      </c>
      <c r="C3" s="33" t="s">
        <v>9</v>
      </c>
      <c r="D3" s="24" t="s">
        <v>12</v>
      </c>
      <c r="E3" s="24" t="s">
        <v>8</v>
      </c>
      <c r="F3" s="24" t="s">
        <v>13</v>
      </c>
      <c r="G3" s="25" t="s">
        <v>5</v>
      </c>
      <c r="H3" s="25" t="s">
        <v>3</v>
      </c>
      <c r="I3" s="21" t="s">
        <v>6</v>
      </c>
      <c r="X3" s="23"/>
      <c r="Y3" s="23"/>
      <c r="Z3" s="23"/>
      <c r="AA3" s="23"/>
      <c r="AB3" s="23"/>
      <c r="AC3" s="23"/>
      <c r="AD3" s="23"/>
      <c r="AE3" s="23"/>
      <c r="AF3" s="23"/>
    </row>
    <row r="4" spans="1:32" s="23" customFormat="1" ht="15" customHeight="1">
      <c r="A4" s="32"/>
      <c r="B4" s="32" t="s">
        <v>11</v>
      </c>
      <c r="C4" s="26" t="s">
        <v>162</v>
      </c>
      <c r="D4" s="29" t="s">
        <v>172</v>
      </c>
      <c r="E4" s="34" t="str">
        <f t="shared" ref="E4:E9" si="0">HYPERLINK("#"&amp;B4&amp;MID(C4,1,1)&amp;"_"&amp;D4&amp;"!A1",B4&amp;MID(C4,1,1)&amp;"_"&amp;D4&amp;"!")</f>
        <v>麦品_catalog_product_entity!</v>
      </c>
      <c r="F4" s="22" t="s">
        <v>77</v>
      </c>
      <c r="G4" s="19"/>
      <c r="H4" s="28"/>
    </row>
    <row r="5" spans="1:32" s="23" customFormat="1" ht="15" customHeight="1">
      <c r="A5" s="32"/>
      <c r="B5" s="32" t="s">
        <v>11</v>
      </c>
      <c r="C5" s="26" t="s">
        <v>162</v>
      </c>
      <c r="D5" s="27" t="s">
        <v>173</v>
      </c>
      <c r="E5" s="34" t="str">
        <f t="shared" si="0"/>
        <v>麦品_c_p_e_datetime!</v>
      </c>
      <c r="F5" s="27" t="s">
        <v>109</v>
      </c>
      <c r="G5" s="19"/>
      <c r="H5" s="28"/>
    </row>
    <row r="6" spans="1:32" s="23" customFormat="1" ht="15" customHeight="1">
      <c r="A6" s="32"/>
      <c r="B6" s="32" t="s">
        <v>11</v>
      </c>
      <c r="C6" s="26" t="s">
        <v>162</v>
      </c>
      <c r="D6" s="27" t="s">
        <v>175</v>
      </c>
      <c r="E6" s="34" t="str">
        <f t="shared" si="0"/>
        <v>麦品_c_p_e_decimal!</v>
      </c>
      <c r="F6" s="27" t="s">
        <v>110</v>
      </c>
      <c r="G6" s="19"/>
      <c r="H6" s="28"/>
    </row>
    <row r="7" spans="1:32" s="23" customFormat="1" ht="15" customHeight="1">
      <c r="A7" s="32"/>
      <c r="B7" s="32" t="s">
        <v>11</v>
      </c>
      <c r="C7" s="26" t="s">
        <v>162</v>
      </c>
      <c r="D7" s="112" t="s">
        <v>176</v>
      </c>
      <c r="E7" s="34" t="str">
        <f t="shared" si="0"/>
        <v>麦品_c_p_e_int!</v>
      </c>
      <c r="F7" s="27" t="s">
        <v>111</v>
      </c>
      <c r="G7" s="19"/>
      <c r="H7" s="28"/>
    </row>
    <row r="8" spans="1:32" s="23" customFormat="1" ht="15" customHeight="1">
      <c r="A8" s="32"/>
      <c r="B8" s="32" t="s">
        <v>11</v>
      </c>
      <c r="C8" s="26" t="s">
        <v>162</v>
      </c>
      <c r="D8" s="27" t="s">
        <v>177</v>
      </c>
      <c r="E8" s="34" t="str">
        <f t="shared" si="0"/>
        <v>麦品_c_p_e_text!</v>
      </c>
      <c r="F8" s="27" t="s">
        <v>112</v>
      </c>
      <c r="G8" s="19"/>
      <c r="H8" s="28"/>
    </row>
    <row r="9" spans="1:32" s="23" customFormat="1" ht="15" customHeight="1">
      <c r="A9" s="32"/>
      <c r="B9" s="32" t="s">
        <v>11</v>
      </c>
      <c r="C9" s="26" t="s">
        <v>162</v>
      </c>
      <c r="D9" s="27" t="s">
        <v>178</v>
      </c>
      <c r="E9" s="34" t="str">
        <f t="shared" si="0"/>
        <v>麦品_c_p_e_varchar!</v>
      </c>
      <c r="F9" s="27" t="s">
        <v>120</v>
      </c>
      <c r="G9" s="19"/>
      <c r="H9" s="28"/>
    </row>
    <row r="10" spans="1:32" s="23" customFormat="1" ht="15" customHeight="1">
      <c r="A10" s="32"/>
      <c r="B10" s="32" t="s">
        <v>11</v>
      </c>
      <c r="C10" s="26" t="s">
        <v>79</v>
      </c>
      <c r="D10" s="29" t="s">
        <v>77</v>
      </c>
      <c r="E10" s="34" t="str">
        <f t="shared" ref="E10:E11" si="1">HYPERLINK("#"&amp;B10&amp;MID(C10,1,1)&amp;"_"&amp;D10&amp;"!A1",B10&amp;MID(C10,1,1)&amp;"_"&amp;D10&amp;"!")</f>
        <v>麦米_eav_entity_store!</v>
      </c>
      <c r="F10" s="22" t="s">
        <v>77</v>
      </c>
      <c r="G10" s="19"/>
      <c r="H10" s="28"/>
    </row>
    <row r="11" spans="1:32" s="23" customFormat="1" ht="15" customHeight="1">
      <c r="A11" s="32"/>
      <c r="B11" s="32" t="s">
        <v>11</v>
      </c>
      <c r="C11" s="26" t="s">
        <v>79</v>
      </c>
      <c r="D11" s="27" t="s">
        <v>78</v>
      </c>
      <c r="E11" s="34" t="str">
        <f t="shared" si="1"/>
        <v>麦米_eav_entity_type!</v>
      </c>
      <c r="F11" s="27" t="s">
        <v>78</v>
      </c>
      <c r="G11" s="19"/>
      <c r="H11" s="28"/>
    </row>
    <row r="12" spans="1:32" s="23" customFormat="1" ht="15" customHeight="1">
      <c r="A12" s="32"/>
      <c r="B12" s="32" t="s">
        <v>11</v>
      </c>
      <c r="C12" s="26" t="s">
        <v>79</v>
      </c>
      <c r="D12" s="27" t="s">
        <v>99</v>
      </c>
      <c r="E12" s="34" t="str">
        <f t="shared" ref="E12" si="2">HYPERLINK("#"&amp;B12&amp;MID(C12,1,1)&amp;"_"&amp;D12&amp;"!A1",B12&amp;MID(C12,1,1)&amp;"_"&amp;D12&amp;"!")</f>
        <v>麦米_eav_entity!</v>
      </c>
      <c r="F12" s="27" t="s">
        <v>99</v>
      </c>
      <c r="G12" s="19"/>
      <c r="H12" s="28"/>
    </row>
    <row r="13" spans="1:32" s="23" customFormat="1" ht="15" customHeight="1">
      <c r="A13" s="32"/>
      <c r="B13" s="32" t="s">
        <v>11</v>
      </c>
      <c r="C13" s="26" t="s">
        <v>79</v>
      </c>
      <c r="D13" s="27" t="s">
        <v>109</v>
      </c>
      <c r="E13" s="34" t="str">
        <f t="shared" ref="E13:E16" si="3">HYPERLINK("#"&amp;B13&amp;MID(C13,1,1)&amp;"_"&amp;D13&amp;"!A1",B13&amp;MID(C13,1,1)&amp;"_"&amp;D13&amp;"!")</f>
        <v>麦米_eav_entity_datetime!</v>
      </c>
      <c r="F13" s="27" t="s">
        <v>109</v>
      </c>
      <c r="G13" s="19"/>
      <c r="H13" s="28"/>
    </row>
    <row r="14" spans="1:32" s="23" customFormat="1" ht="15" customHeight="1">
      <c r="A14" s="32"/>
      <c r="B14" s="32" t="s">
        <v>11</v>
      </c>
      <c r="C14" s="26" t="s">
        <v>79</v>
      </c>
      <c r="D14" s="27" t="s">
        <v>110</v>
      </c>
      <c r="E14" s="34" t="str">
        <f t="shared" si="3"/>
        <v>麦米_eav_entity_decimal!</v>
      </c>
      <c r="F14" s="27" t="s">
        <v>110</v>
      </c>
      <c r="G14" s="19"/>
      <c r="H14" s="28"/>
    </row>
    <row r="15" spans="1:32" s="23" customFormat="1" ht="15" customHeight="1">
      <c r="A15" s="32"/>
      <c r="B15" s="32" t="s">
        <v>11</v>
      </c>
      <c r="C15" s="26" t="s">
        <v>79</v>
      </c>
      <c r="D15" s="27" t="s">
        <v>111</v>
      </c>
      <c r="E15" s="34" t="str">
        <f t="shared" si="3"/>
        <v>麦米_eav_entity_int!</v>
      </c>
      <c r="F15" s="27" t="s">
        <v>111</v>
      </c>
      <c r="G15" s="19"/>
      <c r="H15" s="28"/>
    </row>
    <row r="16" spans="1:32" s="23" customFormat="1" ht="15" customHeight="1">
      <c r="A16" s="32"/>
      <c r="B16" s="32" t="s">
        <v>11</v>
      </c>
      <c r="C16" s="26" t="s">
        <v>79</v>
      </c>
      <c r="D16" s="27" t="s">
        <v>112</v>
      </c>
      <c r="E16" s="34" t="str">
        <f t="shared" si="3"/>
        <v>麦米_eav_entity_text!</v>
      </c>
      <c r="F16" s="27" t="s">
        <v>112</v>
      </c>
      <c r="G16" s="19"/>
      <c r="H16" s="28"/>
    </row>
    <row r="17" spans="1:8" s="23" customFormat="1" ht="15" customHeight="1">
      <c r="A17" s="32"/>
      <c r="B17" s="32" t="s">
        <v>11</v>
      </c>
      <c r="C17" s="26" t="s">
        <v>79</v>
      </c>
      <c r="D17" s="27" t="s">
        <v>120</v>
      </c>
      <c r="E17" s="34" t="str">
        <f t="shared" ref="E17" si="4">HYPERLINK("#"&amp;B17&amp;MID(C17,1,1)&amp;"_"&amp;D17&amp;"!A1",B17&amp;MID(C17,1,1)&amp;"_"&amp;D17&amp;"!")</f>
        <v>麦米_eav_entity_varchar!</v>
      </c>
      <c r="F17" s="27" t="s">
        <v>120</v>
      </c>
      <c r="G17" s="19"/>
      <c r="H17" s="28"/>
    </row>
    <row r="18" spans="1:8" s="23" customFormat="1" ht="15" customHeight="1">
      <c r="A18" s="32"/>
      <c r="B18" s="32" t="s">
        <v>11</v>
      </c>
      <c r="C18" s="26" t="s">
        <v>79</v>
      </c>
      <c r="D18" s="27" t="s">
        <v>121</v>
      </c>
      <c r="E18" s="34" t="str">
        <f t="shared" ref="E18:E20" si="5">HYPERLINK("#"&amp;B18&amp;MID(C18,1,1)&amp;"_"&amp;D18&amp;"!A1",B18&amp;MID(C18,1,1)&amp;"_"&amp;D18&amp;"!")</f>
        <v>麦米_eav_attribute_set!</v>
      </c>
      <c r="F18" s="27" t="s">
        <v>121</v>
      </c>
      <c r="G18" s="19"/>
      <c r="H18" s="28"/>
    </row>
    <row r="19" spans="1:8" s="23" customFormat="1" ht="15" customHeight="1">
      <c r="A19" s="32"/>
      <c r="B19" s="32" t="s">
        <v>11</v>
      </c>
      <c r="C19" s="26" t="s">
        <v>79</v>
      </c>
      <c r="D19" s="27" t="s">
        <v>122</v>
      </c>
      <c r="E19" s="34" t="str">
        <f t="shared" si="5"/>
        <v>麦米_eav_attribute_group!</v>
      </c>
      <c r="F19" s="27" t="s">
        <v>122</v>
      </c>
      <c r="G19" s="19"/>
      <c r="H19" s="28"/>
    </row>
    <row r="20" spans="1:8" s="23" customFormat="1" ht="15" customHeight="1">
      <c r="A20" s="32"/>
      <c r="B20" s="32" t="s">
        <v>11</v>
      </c>
      <c r="C20" s="26" t="s">
        <v>79</v>
      </c>
      <c r="D20" s="27" t="s">
        <v>125</v>
      </c>
      <c r="E20" s="34" t="str">
        <f t="shared" si="5"/>
        <v>麦米_eav_attribute!</v>
      </c>
      <c r="F20" s="27" t="s">
        <v>125</v>
      </c>
      <c r="G20" s="19"/>
      <c r="H20" s="28"/>
    </row>
    <row r="21" spans="1:8" s="23" customFormat="1" ht="15" customHeight="1">
      <c r="A21" s="32"/>
      <c r="B21" s="32" t="s">
        <v>11</v>
      </c>
      <c r="C21" s="26" t="s">
        <v>79</v>
      </c>
      <c r="D21" s="27" t="s">
        <v>157</v>
      </c>
      <c r="E21" s="34" t="str">
        <f t="shared" ref="E21:E22" si="6">HYPERLINK("#"&amp;B21&amp;MID(C21,1,1)&amp;"_"&amp;D21&amp;"!A1",B21&amp;MID(C21,1,1)&amp;"_"&amp;D21&amp;"!")</f>
        <v>麦米_eav_attribute_option!</v>
      </c>
      <c r="F21" s="27" t="s">
        <v>157</v>
      </c>
      <c r="G21" s="19"/>
      <c r="H21" s="28"/>
    </row>
    <row r="22" spans="1:8" s="23" customFormat="1" ht="15" customHeight="1">
      <c r="A22" s="32"/>
      <c r="B22" s="32" t="s">
        <v>11</v>
      </c>
      <c r="C22" s="26" t="s">
        <v>79</v>
      </c>
      <c r="D22" s="27" t="s">
        <v>159</v>
      </c>
      <c r="E22" s="34" t="str">
        <f t="shared" si="6"/>
        <v>麦米_eav_attribute_option_value!</v>
      </c>
      <c r="F22" s="27" t="s">
        <v>159</v>
      </c>
      <c r="G22" s="19"/>
      <c r="H22" s="28"/>
    </row>
  </sheetData>
  <autoFilter ref="A1:I10"/>
  <sortState ref="B4:E744">
    <sortCondition ref="D4:D744"/>
    <sortCondition ref="C4:C744"/>
    <sortCondition ref="B4:B744"/>
  </sortState>
  <mergeCells count="2">
    <mergeCell ref="E1:E2"/>
    <mergeCell ref="D1:D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C16"/>
  <sheetViews>
    <sheetView showGridLines="0" view="pageBreakPreview" zoomScaleSheetLayoutView="100" workbookViewId="0">
      <selection activeCell="J15" sqref="J15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171</v>
      </c>
      <c r="R2" s="45"/>
      <c r="S2" s="45"/>
      <c r="T2" s="45"/>
      <c r="U2" s="45"/>
      <c r="V2" s="45"/>
      <c r="W2" s="45"/>
      <c r="X2" s="45"/>
      <c r="Y2" s="48"/>
      <c r="Z2" s="43" t="s">
        <v>172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163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5" t="s">
        <v>85</v>
      </c>
      <c r="V9" s="116"/>
      <c r="W9" s="117"/>
      <c r="X9" s="99" t="s">
        <v>32</v>
      </c>
      <c r="Y9" s="100"/>
      <c r="Z9" s="101"/>
      <c r="AA9" s="102"/>
      <c r="AB9" s="103" t="s">
        <v>67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/>
      <c r="B10" s="91"/>
      <c r="C10" s="92"/>
      <c r="D10" s="93"/>
      <c r="E10" s="93"/>
      <c r="F10" s="93"/>
      <c r="G10" s="93"/>
      <c r="H10" s="93"/>
      <c r="I10" s="93"/>
      <c r="J10" s="91" t="s">
        <v>164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165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71"/>
      <c r="B11" s="91"/>
      <c r="C11" s="92"/>
      <c r="D11" s="93"/>
      <c r="E11" s="93"/>
      <c r="F11" s="93"/>
      <c r="G11" s="93"/>
      <c r="H11" s="93"/>
      <c r="I11" s="93"/>
      <c r="J11" s="91" t="s">
        <v>166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96"/>
      <c r="V11" s="97"/>
      <c r="W11" s="98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/>
      <c r="B12" s="91"/>
      <c r="C12" s="92"/>
      <c r="D12" s="93"/>
      <c r="E12" s="93"/>
      <c r="F12" s="93"/>
      <c r="G12" s="93"/>
      <c r="H12" s="93"/>
      <c r="I12" s="93"/>
      <c r="J12" s="91" t="s">
        <v>167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5" t="s">
        <v>85</v>
      </c>
      <c r="V12" s="116"/>
      <c r="W12" s="117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71"/>
      <c r="B13" s="91"/>
      <c r="C13" s="92"/>
      <c r="D13" s="93"/>
      <c r="E13" s="93"/>
      <c r="F13" s="93"/>
      <c r="G13" s="93"/>
      <c r="H13" s="93"/>
      <c r="I13" s="93"/>
      <c r="J13" s="91" t="s">
        <v>168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5" t="s">
        <v>85</v>
      </c>
      <c r="V13" s="116"/>
      <c r="W13" s="117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/>
      <c r="B14" s="91"/>
      <c r="C14" s="92"/>
      <c r="D14" s="93"/>
      <c r="E14" s="93"/>
      <c r="F14" s="93"/>
      <c r="G14" s="93"/>
      <c r="H14" s="93"/>
      <c r="I14" s="93"/>
      <c r="J14" s="91" t="s">
        <v>169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15" t="s">
        <v>85</v>
      </c>
      <c r="V14" s="116"/>
      <c r="W14" s="117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71"/>
      <c r="B15" s="91"/>
      <c r="C15" s="92"/>
      <c r="D15" s="93"/>
      <c r="E15" s="93"/>
      <c r="F15" s="93"/>
      <c r="G15" s="93"/>
      <c r="H15" s="93"/>
      <c r="I15" s="93"/>
      <c r="J15" s="91" t="s">
        <v>170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15" t="s">
        <v>85</v>
      </c>
      <c r="V15" s="116"/>
      <c r="W15" s="117"/>
      <c r="X15" s="99" t="s">
        <v>58</v>
      </c>
      <c r="Y15" s="100"/>
      <c r="Z15" s="101"/>
      <c r="AA15" s="102"/>
      <c r="AB15" s="103" t="s">
        <v>94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90"/>
      <c r="B16" s="91"/>
      <c r="C16" s="92"/>
      <c r="D16" s="93"/>
      <c r="E16" s="93"/>
      <c r="F16" s="93"/>
      <c r="G16" s="93"/>
      <c r="H16" s="93"/>
      <c r="I16" s="93"/>
      <c r="J16" s="91"/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/>
      <c r="Y16" s="100"/>
      <c r="Z16" s="101"/>
      <c r="AA16" s="102"/>
      <c r="AB16" s="103"/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</sheetData>
  <mergeCells count="10">
    <mergeCell ref="A1:H3"/>
    <mergeCell ref="AI2:AL3"/>
    <mergeCell ref="AM2:AP3"/>
    <mergeCell ref="U7:W7"/>
    <mergeCell ref="U8:W8"/>
    <mergeCell ref="U9:W9"/>
    <mergeCell ref="U12:W12"/>
    <mergeCell ref="U13:W13"/>
    <mergeCell ref="U14:W14"/>
    <mergeCell ref="U15:W15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C11"/>
  <sheetViews>
    <sheetView showGridLines="0" view="pageBreakPreview" topLeftCell="J1" zoomScaleSheetLayoutView="100" workbookViewId="0">
      <selection activeCell="AC7" sqref="AC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174</v>
      </c>
      <c r="R2" s="45"/>
      <c r="S2" s="45"/>
      <c r="T2" s="45"/>
      <c r="U2" s="45"/>
      <c r="V2" s="45"/>
      <c r="W2" s="45"/>
      <c r="X2" s="45"/>
      <c r="Y2" s="48"/>
      <c r="Z2" s="47" t="s">
        <v>174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C11"/>
  <sheetViews>
    <sheetView showGridLines="0" view="pageBreakPreview" topLeftCell="I3" zoomScaleSheetLayoutView="100" workbookViewId="0">
      <selection activeCell="R6" sqref="R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179</v>
      </c>
      <c r="R2" s="45"/>
      <c r="S2" s="45"/>
      <c r="T2" s="45"/>
      <c r="U2" s="45"/>
      <c r="V2" s="45"/>
      <c r="W2" s="45"/>
      <c r="X2" s="45"/>
      <c r="Y2" s="48"/>
      <c r="Z2" s="43" t="s">
        <v>179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dataConsolidate/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180</v>
      </c>
      <c r="R2" s="45"/>
      <c r="S2" s="45"/>
      <c r="T2" s="45"/>
      <c r="U2" s="45"/>
      <c r="V2" s="45"/>
      <c r="W2" s="45"/>
      <c r="X2" s="45"/>
      <c r="Y2" s="48"/>
      <c r="Z2" s="43" t="s">
        <v>180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181</v>
      </c>
      <c r="R2" s="45"/>
      <c r="S2" s="45"/>
      <c r="T2" s="45"/>
      <c r="U2" s="45"/>
      <c r="V2" s="45"/>
      <c r="W2" s="45"/>
      <c r="X2" s="45"/>
      <c r="Y2" s="48"/>
      <c r="Z2" s="43" t="s">
        <v>181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182</v>
      </c>
      <c r="R2" s="45"/>
      <c r="S2" s="45"/>
      <c r="T2" s="45"/>
      <c r="U2" s="45"/>
      <c r="V2" s="45"/>
      <c r="W2" s="45"/>
      <c r="X2" s="45"/>
      <c r="Y2" s="48"/>
      <c r="Z2" s="43" t="s">
        <v>182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C10"/>
  <sheetViews>
    <sheetView showGridLines="0" view="pageBreakPreview" topLeftCell="J1" zoomScaleSheetLayoutView="100" workbookViewId="0">
      <selection activeCell="J1289" sqref="A11:XFD1289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77</v>
      </c>
      <c r="R2" s="45"/>
      <c r="S2" s="45"/>
      <c r="T2" s="45"/>
      <c r="U2" s="45"/>
      <c r="V2" s="45"/>
      <c r="W2" s="45"/>
      <c r="X2" s="45"/>
      <c r="Y2" s="48"/>
      <c r="Z2" s="47" t="s">
        <v>77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71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78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34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32</v>
      </c>
      <c r="Y9" s="100"/>
      <c r="Z9" s="101"/>
      <c r="AA9" s="102"/>
      <c r="AB9" s="103" t="s">
        <v>54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75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32</v>
      </c>
      <c r="Y10" s="100"/>
      <c r="Z10" s="101"/>
      <c r="AA10" s="102"/>
      <c r="AB10" s="103" t="s">
        <v>69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A1:H3"/>
    <mergeCell ref="AI2:AL3"/>
    <mergeCell ref="AM2:AP3"/>
    <mergeCell ref="U9:W9"/>
    <mergeCell ref="U10:W10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BC19"/>
  <sheetViews>
    <sheetView showGridLines="0" tabSelected="1" view="pageBreakPreview" topLeftCell="C1" zoomScaleSheetLayoutView="100" workbookViewId="0">
      <selection activeCell="J1298" sqref="A20:XFD1298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78</v>
      </c>
      <c r="R2" s="45"/>
      <c r="S2" s="45"/>
      <c r="T2" s="45"/>
      <c r="U2" s="45"/>
      <c r="V2" s="45"/>
      <c r="W2" s="45"/>
      <c r="X2" s="45"/>
      <c r="Y2" s="48"/>
      <c r="Z2" s="43" t="s">
        <v>78</v>
      </c>
      <c r="AA2" s="49"/>
      <c r="AB2" s="49"/>
      <c r="AC2" s="49"/>
      <c r="AD2" s="49"/>
      <c r="AE2" s="50"/>
      <c r="AF2" s="50"/>
      <c r="AG2" s="50"/>
      <c r="AH2" s="50"/>
      <c r="AI2" s="124" t="s">
        <v>100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80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32</v>
      </c>
      <c r="Y7" s="100"/>
      <c r="Z7" s="101"/>
      <c r="AA7" s="102"/>
      <c r="AB7" s="103" t="s">
        <v>69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81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84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86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87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5" t="s">
        <v>85</v>
      </c>
      <c r="V12" s="116"/>
      <c r="W12" s="117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88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5" t="s">
        <v>85</v>
      </c>
      <c r="V13" s="116"/>
      <c r="W13" s="117"/>
      <c r="X13" s="99" t="s">
        <v>58</v>
      </c>
      <c r="Y13" s="100"/>
      <c r="Z13" s="101"/>
      <c r="AA13" s="102"/>
      <c r="AB13" s="103" t="s">
        <v>35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89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90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91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15" t="s">
        <v>85</v>
      </c>
      <c r="V15" s="116"/>
      <c r="W15" s="117"/>
      <c r="X15" s="99" t="s">
        <v>38</v>
      </c>
      <c r="Y15" s="100"/>
      <c r="Z15" s="101"/>
      <c r="AA15" s="102"/>
      <c r="AB15" s="103" t="s">
        <v>37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92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115" t="s">
        <v>85</v>
      </c>
      <c r="V16" s="116"/>
      <c r="W16" s="117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93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115" t="s">
        <v>85</v>
      </c>
      <c r="V17" s="116"/>
      <c r="W17" s="117"/>
      <c r="X17" s="99" t="s">
        <v>58</v>
      </c>
      <c r="Y17" s="100"/>
      <c r="Z17" s="101"/>
      <c r="AA17" s="102"/>
      <c r="AB17" s="103" t="s">
        <v>94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108"/>
      <c r="C18" s="92"/>
      <c r="D18" s="93"/>
      <c r="E18" s="93"/>
      <c r="F18" s="93"/>
      <c r="G18" s="93"/>
      <c r="H18" s="93"/>
      <c r="I18" s="93"/>
      <c r="J18" s="91" t="s">
        <v>95</v>
      </c>
      <c r="K18" s="92"/>
      <c r="L18" s="93"/>
      <c r="M18" s="93"/>
      <c r="N18" s="93"/>
      <c r="O18" s="93"/>
      <c r="P18" s="93"/>
      <c r="Q18" s="98"/>
      <c r="R18" s="76"/>
      <c r="S18" s="95"/>
      <c r="T18" s="95"/>
      <c r="U18" s="115" t="s">
        <v>85</v>
      </c>
      <c r="V18" s="116"/>
      <c r="W18" s="117"/>
      <c r="X18" s="99" t="s">
        <v>58</v>
      </c>
      <c r="Y18" s="100"/>
      <c r="Z18" s="101"/>
      <c r="AA18" s="102"/>
      <c r="AB18" s="103" t="s">
        <v>41</v>
      </c>
      <c r="AC18" s="104"/>
      <c r="AD18" s="105"/>
      <c r="AE18" s="106"/>
      <c r="AF18" s="109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96</v>
      </c>
      <c r="K19" s="92"/>
      <c r="L19" s="93"/>
      <c r="M19" s="93"/>
      <c r="N19" s="93"/>
      <c r="O19" s="93"/>
      <c r="P19" s="93"/>
      <c r="Q19" s="98"/>
      <c r="R19" s="76"/>
      <c r="S19" s="95"/>
      <c r="T19" s="95"/>
      <c r="U19" s="115" t="s">
        <v>85</v>
      </c>
      <c r="V19" s="116"/>
      <c r="W19" s="117"/>
      <c r="X19" s="99" t="s">
        <v>97</v>
      </c>
      <c r="Y19" s="100"/>
      <c r="Z19" s="101"/>
      <c r="AA19" s="102"/>
      <c r="AB19" s="103" t="s">
        <v>94</v>
      </c>
      <c r="AC19" s="104"/>
      <c r="AD19" s="105"/>
      <c r="AE19" s="106"/>
      <c r="AF19" s="109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</sheetData>
  <mergeCells count="15">
    <mergeCell ref="A1:H3"/>
    <mergeCell ref="AI2:AL3"/>
    <mergeCell ref="AM2:AP3"/>
    <mergeCell ref="U18:W18"/>
    <mergeCell ref="U19:W19"/>
    <mergeCell ref="U9:W9"/>
    <mergeCell ref="U10:W10"/>
    <mergeCell ref="U8:W8"/>
    <mergeCell ref="U7:W7"/>
    <mergeCell ref="U11:W11"/>
    <mergeCell ref="U12:W12"/>
    <mergeCell ref="U13:W13"/>
    <mergeCell ref="U15:W15"/>
    <mergeCell ref="U16:W16"/>
    <mergeCell ref="U17:W17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BC14"/>
  <sheetViews>
    <sheetView showGridLines="0" view="pageBreakPreview" topLeftCell="J3" zoomScaleSheetLayoutView="100" workbookViewId="0">
      <selection activeCell="J1293" sqref="A15:XFD129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99</v>
      </c>
      <c r="R2" s="45"/>
      <c r="S2" s="45"/>
      <c r="T2" s="45"/>
      <c r="U2" s="45"/>
      <c r="V2" s="45"/>
      <c r="W2" s="45"/>
      <c r="X2" s="45"/>
      <c r="Y2" s="48"/>
      <c r="Z2" s="43" t="s">
        <v>99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103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32</v>
      </c>
      <c r="Y9" s="100"/>
      <c r="Z9" s="101"/>
      <c r="AA9" s="102"/>
      <c r="AB9" s="103" t="s">
        <v>69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104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44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73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38</v>
      </c>
      <c r="Y11" s="100"/>
      <c r="Z11" s="101"/>
      <c r="AA11" s="102"/>
      <c r="AB11" s="103" t="s">
        <v>37</v>
      </c>
      <c r="AC11" s="104"/>
      <c r="AD11" s="105"/>
      <c r="AE11" s="106"/>
      <c r="AF11" s="107" t="s">
        <v>105</v>
      </c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106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5" t="s">
        <v>85</v>
      </c>
      <c r="V12" s="116"/>
      <c r="W12" s="117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107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5" t="s">
        <v>85</v>
      </c>
      <c r="V13" s="116"/>
      <c r="W13" s="117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108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15" t="s">
        <v>85</v>
      </c>
      <c r="V14" s="116"/>
      <c r="W14" s="117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</sheetData>
  <mergeCells count="11">
    <mergeCell ref="U9:W9"/>
    <mergeCell ref="A1:H3"/>
    <mergeCell ref="AI2:AL3"/>
    <mergeCell ref="AM2:AP3"/>
    <mergeCell ref="U7:W7"/>
    <mergeCell ref="U8:W8"/>
    <mergeCell ref="U14:W14"/>
    <mergeCell ref="U10:W10"/>
    <mergeCell ref="U11:W11"/>
    <mergeCell ref="U12:W12"/>
    <mergeCell ref="U13:W13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109</v>
      </c>
      <c r="R2" s="45"/>
      <c r="S2" s="45"/>
      <c r="T2" s="45"/>
      <c r="U2" s="45"/>
      <c r="V2" s="45"/>
      <c r="W2" s="45"/>
      <c r="X2" s="45"/>
      <c r="Y2" s="48"/>
      <c r="Z2" s="43" t="s">
        <v>109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BC11"/>
  <sheetViews>
    <sheetView showGridLines="0" view="pageBreakPreview" topLeftCell="K1" zoomScaleSheetLayoutView="100" workbookViewId="0">
      <selection activeCell="K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110</v>
      </c>
      <c r="R2" s="45"/>
      <c r="S2" s="45"/>
      <c r="T2" s="45"/>
      <c r="U2" s="45"/>
      <c r="V2" s="45"/>
      <c r="W2" s="45"/>
      <c r="X2" s="45"/>
      <c r="Y2" s="48"/>
      <c r="Z2" s="43" t="s">
        <v>110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111</v>
      </c>
      <c r="R2" s="45"/>
      <c r="S2" s="45"/>
      <c r="T2" s="45"/>
      <c r="U2" s="45"/>
      <c r="V2" s="45"/>
      <c r="W2" s="45"/>
      <c r="X2" s="45"/>
      <c r="Y2" s="48"/>
      <c r="Z2" s="43" t="s">
        <v>111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BC11"/>
  <sheetViews>
    <sheetView showGridLines="0" view="pageBreakPreview" topLeftCell="O1" zoomScaleSheetLayoutView="100" workbookViewId="0">
      <selection activeCell="O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112</v>
      </c>
      <c r="R2" s="45"/>
      <c r="S2" s="45"/>
      <c r="T2" s="45"/>
      <c r="U2" s="45"/>
      <c r="V2" s="45"/>
      <c r="W2" s="45"/>
      <c r="X2" s="45"/>
      <c r="Y2" s="48"/>
      <c r="Z2" s="43" t="s">
        <v>112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120</v>
      </c>
      <c r="R2" s="45"/>
      <c r="S2" s="45"/>
      <c r="T2" s="45"/>
      <c r="U2" s="45"/>
      <c r="V2" s="45"/>
      <c r="W2" s="45"/>
      <c r="X2" s="45"/>
      <c r="Y2" s="48"/>
      <c r="Z2" s="43" t="s">
        <v>120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 t="s">
        <v>85</v>
      </c>
      <c r="V10" s="116"/>
      <c r="W10" s="117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BC9"/>
  <sheetViews>
    <sheetView showGridLines="0" view="pageBreakPreview" topLeftCell="J1" zoomScaleSheetLayoutView="100" workbookViewId="0">
      <selection activeCell="AD12" sqref="AD12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121</v>
      </c>
      <c r="R2" s="45"/>
      <c r="S2" s="45"/>
      <c r="T2" s="45"/>
      <c r="U2" s="45"/>
      <c r="V2" s="45"/>
      <c r="W2" s="45"/>
      <c r="X2" s="45"/>
      <c r="Y2" s="48"/>
      <c r="Z2" s="43" t="s">
        <v>121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102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BC10"/>
  <sheetViews>
    <sheetView showGridLines="0" view="pageBreakPreview" topLeftCell="J1" zoomScaleSheetLayoutView="100" workbookViewId="0">
      <selection activeCell="BI26" sqref="BI2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/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122</v>
      </c>
      <c r="R2" s="45"/>
      <c r="S2" s="45"/>
      <c r="T2" s="45"/>
      <c r="U2" s="45"/>
      <c r="V2" s="45"/>
      <c r="W2" s="45"/>
      <c r="X2" s="45"/>
      <c r="Y2" s="48"/>
      <c r="Z2" s="43" t="s">
        <v>122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126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102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127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 t="s">
        <v>85</v>
      </c>
      <c r="V9" s="116"/>
      <c r="W9" s="117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128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5"/>
      <c r="V10" s="116"/>
      <c r="W10" s="117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U10:W10"/>
    <mergeCell ref="U9:W9"/>
    <mergeCell ref="A1:H3"/>
    <mergeCell ref="AI2:AL3"/>
    <mergeCell ref="AM2:AP3"/>
    <mergeCell ref="U7:W7"/>
    <mergeCell ref="U8:W8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BC38"/>
  <sheetViews>
    <sheetView showGridLines="0" view="pageBreakPreview" topLeftCell="J13" zoomScaleSheetLayoutView="100" workbookViewId="0">
      <selection activeCell="X11" sqref="X11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125</v>
      </c>
      <c r="R2" s="45"/>
      <c r="S2" s="45"/>
      <c r="T2" s="45"/>
      <c r="U2" s="45"/>
      <c r="V2" s="45"/>
      <c r="W2" s="45"/>
      <c r="X2" s="45"/>
      <c r="Y2" s="48"/>
      <c r="Z2" s="43" t="s">
        <v>125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114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129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5"/>
      <c r="V9" s="116"/>
      <c r="W9" s="117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108"/>
      <c r="C10" s="92"/>
      <c r="D10" s="93"/>
      <c r="E10" s="93"/>
      <c r="F10" s="93"/>
      <c r="G10" s="93"/>
      <c r="H10" s="93"/>
      <c r="I10" s="93"/>
      <c r="J10" s="91" t="s">
        <v>160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130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5" t="s">
        <v>85</v>
      </c>
      <c r="V11" s="116"/>
      <c r="W11" s="117"/>
      <c r="X11" s="99" t="s">
        <v>183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131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96"/>
      <c r="V12" s="97"/>
      <c r="W12" s="98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132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96"/>
      <c r="V13" s="97"/>
      <c r="W13" s="98"/>
      <c r="X13" s="99" t="s">
        <v>32</v>
      </c>
      <c r="Y13" s="100"/>
      <c r="Z13" s="101"/>
      <c r="AA13" s="102"/>
      <c r="AB13" s="103" t="s">
        <v>82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133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69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134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96"/>
      <c r="V15" s="97"/>
      <c r="W15" s="98"/>
      <c r="X15" s="99" t="s">
        <v>32</v>
      </c>
      <c r="Y15" s="100"/>
      <c r="Z15" s="101"/>
      <c r="AA15" s="102"/>
      <c r="AB15" s="103" t="s">
        <v>82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161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135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96"/>
      <c r="V17" s="97"/>
      <c r="W17" s="98"/>
      <c r="X17" s="99" t="s">
        <v>32</v>
      </c>
      <c r="Y17" s="100"/>
      <c r="Z17" s="101"/>
      <c r="AA17" s="102"/>
      <c r="AB17" s="103" t="s">
        <v>82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91"/>
      <c r="C18" s="92"/>
      <c r="D18" s="93"/>
      <c r="E18" s="93"/>
      <c r="F18" s="93"/>
      <c r="G18" s="93"/>
      <c r="H18" s="93"/>
      <c r="I18" s="93"/>
      <c r="J18" s="91" t="s">
        <v>136</v>
      </c>
      <c r="K18" s="92"/>
      <c r="L18" s="93"/>
      <c r="M18" s="93"/>
      <c r="N18" s="93"/>
      <c r="O18" s="93"/>
      <c r="P18" s="93"/>
      <c r="Q18" s="94"/>
      <c r="R18" s="76"/>
      <c r="S18" s="95"/>
      <c r="T18" s="95"/>
      <c r="U18" s="96"/>
      <c r="V18" s="97"/>
      <c r="W18" s="98"/>
      <c r="X18" s="99" t="s">
        <v>32</v>
      </c>
      <c r="Y18" s="100"/>
      <c r="Z18" s="101"/>
      <c r="AA18" s="102"/>
      <c r="AB18" s="103" t="s">
        <v>82</v>
      </c>
      <c r="AC18" s="104"/>
      <c r="AD18" s="105"/>
      <c r="AE18" s="106"/>
      <c r="AF18" s="107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137</v>
      </c>
      <c r="K19" s="92"/>
      <c r="L19" s="93"/>
      <c r="M19" s="93"/>
      <c r="N19" s="93"/>
      <c r="O19" s="93"/>
      <c r="P19" s="93"/>
      <c r="Q19" s="94"/>
      <c r="R19" s="76"/>
      <c r="S19" s="95"/>
      <c r="T19" s="95"/>
      <c r="U19" s="115" t="s">
        <v>85</v>
      </c>
      <c r="V19" s="116"/>
      <c r="W19" s="117"/>
      <c r="X19" s="99" t="s">
        <v>58</v>
      </c>
      <c r="Y19" s="100"/>
      <c r="Z19" s="101"/>
      <c r="AA19" s="102"/>
      <c r="AB19" s="103" t="s">
        <v>94</v>
      </c>
      <c r="AC19" s="104"/>
      <c r="AD19" s="105"/>
      <c r="AE19" s="106"/>
      <c r="AF19" s="107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  <row r="20" spans="1:54" s="89" customFormat="1" ht="15.95" customHeight="1">
      <c r="A20" s="71" t="s">
        <v>49</v>
      </c>
      <c r="B20" s="91"/>
      <c r="C20" s="92"/>
      <c r="D20" s="93"/>
      <c r="E20" s="93"/>
      <c r="F20" s="93"/>
      <c r="G20" s="93"/>
      <c r="H20" s="93"/>
      <c r="I20" s="93"/>
      <c r="J20" s="91" t="s">
        <v>138</v>
      </c>
      <c r="K20" s="92"/>
      <c r="L20" s="93"/>
      <c r="M20" s="93"/>
      <c r="N20" s="93"/>
      <c r="O20" s="93"/>
      <c r="P20" s="93"/>
      <c r="Q20" s="94"/>
      <c r="R20" s="76"/>
      <c r="S20" s="95"/>
      <c r="T20" s="95"/>
      <c r="U20" s="115" t="s">
        <v>85</v>
      </c>
      <c r="V20" s="116"/>
      <c r="W20" s="117"/>
      <c r="X20" s="99" t="s">
        <v>58</v>
      </c>
      <c r="Y20" s="100"/>
      <c r="Z20" s="101"/>
      <c r="AA20" s="102"/>
      <c r="AB20" s="103" t="s">
        <v>94</v>
      </c>
      <c r="AC20" s="104"/>
      <c r="AD20" s="105"/>
      <c r="AE20" s="106"/>
      <c r="AF20" s="107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107"/>
      <c r="AX20" s="93"/>
      <c r="AY20" s="93"/>
      <c r="AZ20" s="93"/>
      <c r="BA20" s="107"/>
      <c r="BB20" s="94"/>
    </row>
    <row r="21" spans="1:54" s="89" customFormat="1" ht="15.95" customHeight="1">
      <c r="A21" s="90" t="s">
        <v>50</v>
      </c>
      <c r="B21" s="91"/>
      <c r="C21" s="92"/>
      <c r="D21" s="93"/>
      <c r="E21" s="93"/>
      <c r="F21" s="93"/>
      <c r="G21" s="93"/>
      <c r="H21" s="93"/>
      <c r="I21" s="93"/>
      <c r="J21" s="91" t="s">
        <v>139</v>
      </c>
      <c r="K21" s="92"/>
      <c r="L21" s="93"/>
      <c r="M21" s="93"/>
      <c r="N21" s="93"/>
      <c r="O21" s="93"/>
      <c r="P21" s="93"/>
      <c r="Q21" s="94"/>
      <c r="R21" s="76"/>
      <c r="S21" s="95"/>
      <c r="T21" s="95"/>
      <c r="U21" s="115" t="s">
        <v>85</v>
      </c>
      <c r="V21" s="116"/>
      <c r="W21" s="117"/>
      <c r="X21" s="99" t="s">
        <v>58</v>
      </c>
      <c r="Y21" s="100"/>
      <c r="Z21" s="101"/>
      <c r="AA21" s="102"/>
      <c r="AB21" s="103" t="s">
        <v>94</v>
      </c>
      <c r="AC21" s="104"/>
      <c r="AD21" s="105"/>
      <c r="AE21" s="106"/>
      <c r="AF21" s="107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07"/>
      <c r="AX21" s="93"/>
      <c r="AY21" s="93"/>
      <c r="AZ21" s="93"/>
      <c r="BA21" s="107"/>
      <c r="BB21" s="94"/>
    </row>
    <row r="22" spans="1:54" s="89" customFormat="1" ht="15.95" customHeight="1">
      <c r="A22" s="71" t="s">
        <v>51</v>
      </c>
      <c r="B22" s="91"/>
      <c r="C22" s="92"/>
      <c r="D22" s="93"/>
      <c r="E22" s="93"/>
      <c r="F22" s="93"/>
      <c r="G22" s="93"/>
      <c r="H22" s="93"/>
      <c r="I22" s="93"/>
      <c r="J22" s="91" t="s">
        <v>140</v>
      </c>
      <c r="K22" s="92"/>
      <c r="L22" s="93"/>
      <c r="M22" s="93"/>
      <c r="N22" s="93"/>
      <c r="O22" s="93"/>
      <c r="P22" s="93"/>
      <c r="Q22" s="94"/>
      <c r="R22" s="76"/>
      <c r="S22" s="95"/>
      <c r="T22" s="95"/>
      <c r="U22" s="115" t="s">
        <v>85</v>
      </c>
      <c r="V22" s="116"/>
      <c r="W22" s="117"/>
      <c r="X22" s="99" t="s">
        <v>58</v>
      </c>
      <c r="Y22" s="100"/>
      <c r="Z22" s="101"/>
      <c r="AA22" s="102"/>
      <c r="AB22" s="103" t="s">
        <v>94</v>
      </c>
      <c r="AC22" s="104"/>
      <c r="AD22" s="105"/>
      <c r="AE22" s="106"/>
      <c r="AF22" s="107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107"/>
      <c r="AX22" s="93"/>
      <c r="AY22" s="93"/>
      <c r="AZ22" s="93"/>
      <c r="BA22" s="107"/>
      <c r="BB22" s="94"/>
    </row>
    <row r="23" spans="1:54" s="89" customFormat="1" ht="15.95" customHeight="1">
      <c r="A23" s="90" t="s">
        <v>52</v>
      </c>
      <c r="B23" s="91"/>
      <c r="C23" s="92"/>
      <c r="D23" s="93"/>
      <c r="E23" s="93"/>
      <c r="F23" s="93"/>
      <c r="G23" s="93"/>
      <c r="H23" s="93"/>
      <c r="I23" s="93"/>
      <c r="J23" s="91" t="s">
        <v>141</v>
      </c>
      <c r="K23" s="92"/>
      <c r="L23" s="93"/>
      <c r="M23" s="93"/>
      <c r="N23" s="93"/>
      <c r="O23" s="93"/>
      <c r="P23" s="93"/>
      <c r="Q23" s="94"/>
      <c r="R23" s="76"/>
      <c r="S23" s="95"/>
      <c r="T23" s="95"/>
      <c r="U23" s="96"/>
      <c r="V23" s="97"/>
      <c r="W23" s="98"/>
      <c r="X23" s="99" t="s">
        <v>119</v>
      </c>
      <c r="Y23" s="100"/>
      <c r="Z23" s="101"/>
      <c r="AA23" s="102"/>
      <c r="AB23" s="103"/>
      <c r="AC23" s="104"/>
      <c r="AD23" s="105"/>
      <c r="AE23" s="106"/>
      <c r="AF23" s="107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107"/>
      <c r="AX23" s="93"/>
      <c r="AY23" s="93"/>
      <c r="AZ23" s="93"/>
      <c r="BA23" s="107"/>
      <c r="BB23" s="94"/>
    </row>
    <row r="24" spans="1:54" s="89" customFormat="1" ht="15.95" customHeight="1">
      <c r="A24" s="71" t="s">
        <v>53</v>
      </c>
      <c r="B24" s="91"/>
      <c r="C24" s="92"/>
      <c r="D24" s="93"/>
      <c r="E24" s="93"/>
      <c r="F24" s="93"/>
      <c r="G24" s="93"/>
      <c r="H24" s="93"/>
      <c r="I24" s="93"/>
      <c r="J24" s="91" t="s">
        <v>142</v>
      </c>
      <c r="K24" s="92"/>
      <c r="L24" s="93"/>
      <c r="M24" s="93"/>
      <c r="N24" s="93"/>
      <c r="O24" s="93"/>
      <c r="P24" s="93"/>
      <c r="Q24" s="94"/>
      <c r="R24" s="76"/>
      <c r="S24" s="95"/>
      <c r="T24" s="95"/>
      <c r="U24" s="115" t="s">
        <v>85</v>
      </c>
      <c r="V24" s="116"/>
      <c r="W24" s="117"/>
      <c r="X24" s="99" t="s">
        <v>58</v>
      </c>
      <c r="Y24" s="100"/>
      <c r="Z24" s="101"/>
      <c r="AA24" s="102"/>
      <c r="AB24" s="103" t="s">
        <v>94</v>
      </c>
      <c r="AC24" s="104"/>
      <c r="AD24" s="105"/>
      <c r="AE24" s="106"/>
      <c r="AF24" s="107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107"/>
      <c r="AX24" s="93"/>
      <c r="AY24" s="93"/>
      <c r="AZ24" s="93"/>
      <c r="BA24" s="107"/>
      <c r="BB24" s="94"/>
    </row>
    <row r="25" spans="1:54" s="89" customFormat="1" ht="15.95" customHeight="1">
      <c r="A25" s="90" t="s">
        <v>54</v>
      </c>
      <c r="B25" s="91"/>
      <c r="C25" s="92"/>
      <c r="D25" s="93"/>
      <c r="E25" s="93"/>
      <c r="F25" s="93"/>
      <c r="G25" s="93"/>
      <c r="H25" s="93"/>
      <c r="I25" s="93"/>
      <c r="J25" s="91" t="s">
        <v>148</v>
      </c>
      <c r="K25" s="92"/>
      <c r="L25" s="93"/>
      <c r="M25" s="93"/>
      <c r="N25" s="93"/>
      <c r="O25" s="93"/>
      <c r="P25" s="93"/>
      <c r="Q25" s="94"/>
      <c r="R25" s="76"/>
      <c r="S25" s="95"/>
      <c r="T25" s="95"/>
      <c r="U25" s="115" t="s">
        <v>85</v>
      </c>
      <c r="V25" s="116"/>
      <c r="W25" s="117"/>
      <c r="X25" s="99" t="s">
        <v>58</v>
      </c>
      <c r="Y25" s="100"/>
      <c r="Z25" s="101"/>
      <c r="AA25" s="102"/>
      <c r="AB25" s="103" t="s">
        <v>94</v>
      </c>
      <c r="AC25" s="104"/>
      <c r="AD25" s="105"/>
      <c r="AE25" s="106"/>
      <c r="AF25" s="107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107"/>
      <c r="AX25" s="93"/>
      <c r="AY25" s="93"/>
      <c r="AZ25" s="93"/>
      <c r="BA25" s="107"/>
      <c r="BB25" s="94"/>
    </row>
    <row r="26" spans="1:54" s="89" customFormat="1" ht="15.95" customHeight="1">
      <c r="A26" s="71" t="s">
        <v>55</v>
      </c>
      <c r="B26" s="91"/>
      <c r="C26" s="92"/>
      <c r="D26" s="93"/>
      <c r="E26" s="93"/>
      <c r="F26" s="93"/>
      <c r="G26" s="93"/>
      <c r="H26" s="93"/>
      <c r="I26" s="93"/>
      <c r="J26" s="91" t="s">
        <v>143</v>
      </c>
      <c r="K26" s="92"/>
      <c r="L26" s="93"/>
      <c r="M26" s="93"/>
      <c r="N26" s="93"/>
      <c r="O26" s="93"/>
      <c r="P26" s="93"/>
      <c r="Q26" s="94"/>
      <c r="R26" s="76"/>
      <c r="S26" s="95"/>
      <c r="T26" s="95"/>
      <c r="U26" s="115" t="s">
        <v>85</v>
      </c>
      <c r="V26" s="116"/>
      <c r="W26" s="117"/>
      <c r="X26" s="99" t="s">
        <v>58</v>
      </c>
      <c r="Y26" s="100"/>
      <c r="Z26" s="101"/>
      <c r="AA26" s="102"/>
      <c r="AB26" s="103" t="s">
        <v>94</v>
      </c>
      <c r="AC26" s="104"/>
      <c r="AD26" s="105"/>
      <c r="AE26" s="106"/>
      <c r="AF26" s="107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107"/>
      <c r="AX26" s="93"/>
      <c r="AY26" s="93"/>
      <c r="AZ26" s="93"/>
      <c r="BA26" s="107"/>
      <c r="BB26" s="94"/>
    </row>
    <row r="27" spans="1:54" s="89" customFormat="1" ht="15.95" customHeight="1">
      <c r="A27" s="90" t="s">
        <v>56</v>
      </c>
      <c r="B27" s="91"/>
      <c r="C27" s="92"/>
      <c r="D27" s="93"/>
      <c r="E27" s="93"/>
      <c r="F27" s="93"/>
      <c r="G27" s="93"/>
      <c r="H27" s="93"/>
      <c r="I27" s="93"/>
      <c r="J27" s="91" t="s">
        <v>144</v>
      </c>
      <c r="K27" s="92"/>
      <c r="L27" s="93"/>
      <c r="M27" s="93"/>
      <c r="N27" s="93"/>
      <c r="O27" s="93"/>
      <c r="P27" s="93"/>
      <c r="Q27" s="94"/>
      <c r="R27" s="76"/>
      <c r="S27" s="95"/>
      <c r="T27" s="95"/>
      <c r="U27" s="115" t="s">
        <v>85</v>
      </c>
      <c r="V27" s="116"/>
      <c r="W27" s="117"/>
      <c r="X27" s="99" t="s">
        <v>58</v>
      </c>
      <c r="Y27" s="100"/>
      <c r="Z27" s="101"/>
      <c r="AA27" s="102"/>
      <c r="AB27" s="103" t="s">
        <v>94</v>
      </c>
      <c r="AC27" s="104"/>
      <c r="AD27" s="105"/>
      <c r="AE27" s="106"/>
      <c r="AF27" s="107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107"/>
      <c r="AX27" s="93"/>
      <c r="AY27" s="93"/>
      <c r="AZ27" s="93"/>
      <c r="BA27" s="107"/>
      <c r="BB27" s="94"/>
    </row>
    <row r="28" spans="1:54" s="89" customFormat="1" ht="15.95" customHeight="1">
      <c r="A28" s="71" t="s">
        <v>57</v>
      </c>
      <c r="B28" s="91"/>
      <c r="C28" s="92"/>
      <c r="D28" s="93"/>
      <c r="E28" s="93"/>
      <c r="F28" s="93"/>
      <c r="G28" s="93"/>
      <c r="H28" s="93"/>
      <c r="I28" s="93"/>
      <c r="J28" s="91" t="s">
        <v>145</v>
      </c>
      <c r="K28" s="92"/>
      <c r="L28" s="93"/>
      <c r="M28" s="93"/>
      <c r="N28" s="93"/>
      <c r="O28" s="93"/>
      <c r="P28" s="93"/>
      <c r="Q28" s="94"/>
      <c r="R28" s="76"/>
      <c r="S28" s="95"/>
      <c r="T28" s="95"/>
      <c r="U28" s="115" t="s">
        <v>85</v>
      </c>
      <c r="V28" s="116"/>
      <c r="W28" s="117"/>
      <c r="X28" s="99" t="s">
        <v>58</v>
      </c>
      <c r="Y28" s="100"/>
      <c r="Z28" s="101"/>
      <c r="AA28" s="102"/>
      <c r="AB28" s="103" t="s">
        <v>94</v>
      </c>
      <c r="AC28" s="104"/>
      <c r="AD28" s="105"/>
      <c r="AE28" s="106"/>
      <c r="AF28" s="107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107"/>
      <c r="AX28" s="93"/>
      <c r="AY28" s="93"/>
      <c r="AZ28" s="93"/>
      <c r="BA28" s="107"/>
      <c r="BB28" s="94"/>
    </row>
    <row r="29" spans="1:54" s="89" customFormat="1" ht="15.95" customHeight="1">
      <c r="A29" s="90" t="s">
        <v>59</v>
      </c>
      <c r="B29" s="91"/>
      <c r="C29" s="92"/>
      <c r="D29" s="93"/>
      <c r="E29" s="93"/>
      <c r="F29" s="93"/>
      <c r="G29" s="93"/>
      <c r="H29" s="93"/>
      <c r="I29" s="93"/>
      <c r="J29" s="91" t="s">
        <v>146</v>
      </c>
      <c r="K29" s="92"/>
      <c r="L29" s="93"/>
      <c r="M29" s="93"/>
      <c r="N29" s="93"/>
      <c r="O29" s="93"/>
      <c r="P29" s="93"/>
      <c r="Q29" s="94"/>
      <c r="R29" s="76"/>
      <c r="S29" s="95"/>
      <c r="T29" s="95"/>
      <c r="U29" s="115" t="s">
        <v>85</v>
      </c>
      <c r="V29" s="116"/>
      <c r="W29" s="117"/>
      <c r="X29" s="99" t="s">
        <v>58</v>
      </c>
      <c r="Y29" s="100"/>
      <c r="Z29" s="101"/>
      <c r="AA29" s="102"/>
      <c r="AB29" s="103" t="s">
        <v>94</v>
      </c>
      <c r="AC29" s="104"/>
      <c r="AD29" s="105"/>
      <c r="AE29" s="106"/>
      <c r="AF29" s="107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107"/>
      <c r="AX29" s="93"/>
      <c r="AY29" s="93"/>
      <c r="AZ29" s="93"/>
      <c r="BA29" s="107"/>
      <c r="BB29" s="94"/>
    </row>
    <row r="30" spans="1:54" s="89" customFormat="1" ht="15.95" customHeight="1">
      <c r="A30" s="71" t="s">
        <v>60</v>
      </c>
      <c r="B30" s="91"/>
      <c r="C30" s="92"/>
      <c r="D30" s="93"/>
      <c r="E30" s="93"/>
      <c r="F30" s="93"/>
      <c r="G30" s="93"/>
      <c r="H30" s="93"/>
      <c r="I30" s="93"/>
      <c r="J30" s="91" t="s">
        <v>147</v>
      </c>
      <c r="K30" s="92"/>
      <c r="L30" s="93"/>
      <c r="M30" s="93"/>
      <c r="N30" s="93"/>
      <c r="O30" s="93"/>
      <c r="P30" s="93"/>
      <c r="Q30" s="94"/>
      <c r="R30" s="76"/>
      <c r="S30" s="95"/>
      <c r="T30" s="95"/>
      <c r="U30" s="115" t="s">
        <v>85</v>
      </c>
      <c r="V30" s="116"/>
      <c r="W30" s="117"/>
      <c r="X30" s="99" t="s">
        <v>58</v>
      </c>
      <c r="Y30" s="100"/>
      <c r="Z30" s="101"/>
      <c r="AA30" s="102"/>
      <c r="AB30" s="103" t="s">
        <v>94</v>
      </c>
      <c r="AC30" s="104"/>
      <c r="AD30" s="105"/>
      <c r="AE30" s="106"/>
      <c r="AF30" s="107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107"/>
      <c r="AX30" s="93"/>
      <c r="AY30" s="93"/>
      <c r="AZ30" s="93"/>
      <c r="BA30" s="107"/>
      <c r="BB30" s="94"/>
    </row>
    <row r="31" spans="1:54" s="89" customFormat="1" ht="15.95" customHeight="1">
      <c r="A31" s="90" t="s">
        <v>61</v>
      </c>
      <c r="B31" s="91"/>
      <c r="C31" s="92"/>
      <c r="D31" s="93"/>
      <c r="E31" s="93"/>
      <c r="F31" s="93"/>
      <c r="G31" s="93"/>
      <c r="H31" s="93"/>
      <c r="I31" s="93"/>
      <c r="J31" s="91" t="s">
        <v>149</v>
      </c>
      <c r="K31" s="92"/>
      <c r="L31" s="93"/>
      <c r="M31" s="93"/>
      <c r="N31" s="93"/>
      <c r="O31" s="93"/>
      <c r="P31" s="93"/>
      <c r="Q31" s="94"/>
      <c r="R31" s="76"/>
      <c r="S31" s="95"/>
      <c r="T31" s="95"/>
      <c r="U31" s="115" t="s">
        <v>85</v>
      </c>
      <c r="V31" s="116"/>
      <c r="W31" s="117"/>
      <c r="X31" s="99" t="s">
        <v>58</v>
      </c>
      <c r="Y31" s="100"/>
      <c r="Z31" s="101"/>
      <c r="AA31" s="102"/>
      <c r="AB31" s="103" t="s">
        <v>94</v>
      </c>
      <c r="AC31" s="104"/>
      <c r="AD31" s="105"/>
      <c r="AE31" s="106"/>
      <c r="AF31" s="107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107"/>
      <c r="AX31" s="93"/>
      <c r="AY31" s="93"/>
      <c r="AZ31" s="93"/>
      <c r="BA31" s="107"/>
      <c r="BB31" s="94"/>
    </row>
    <row r="32" spans="1:54" s="89" customFormat="1" ht="15.95" customHeight="1">
      <c r="A32" s="71" t="s">
        <v>62</v>
      </c>
      <c r="B32" s="91"/>
      <c r="C32" s="92"/>
      <c r="D32" s="93"/>
      <c r="E32" s="93"/>
      <c r="F32" s="93"/>
      <c r="G32" s="93"/>
      <c r="H32" s="93"/>
      <c r="I32" s="93"/>
      <c r="J32" s="91" t="s">
        <v>150</v>
      </c>
      <c r="K32" s="92"/>
      <c r="L32" s="93"/>
      <c r="M32" s="93"/>
      <c r="N32" s="93"/>
      <c r="O32" s="93"/>
      <c r="P32" s="93"/>
      <c r="Q32" s="94"/>
      <c r="R32" s="76"/>
      <c r="S32" s="95"/>
      <c r="T32" s="95"/>
      <c r="U32" s="115" t="s">
        <v>85</v>
      </c>
      <c r="V32" s="116"/>
      <c r="W32" s="117"/>
      <c r="X32" s="99" t="s">
        <v>58</v>
      </c>
      <c r="Y32" s="100"/>
      <c r="Z32" s="101"/>
      <c r="AA32" s="102"/>
      <c r="AB32" s="103" t="s">
        <v>94</v>
      </c>
      <c r="AC32" s="104"/>
      <c r="AD32" s="105"/>
      <c r="AE32" s="106"/>
      <c r="AF32" s="107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107"/>
      <c r="AX32" s="93"/>
      <c r="AY32" s="93"/>
      <c r="AZ32" s="93"/>
      <c r="BA32" s="107"/>
      <c r="BB32" s="94"/>
    </row>
    <row r="33" spans="1:54" s="89" customFormat="1" ht="15.95" customHeight="1">
      <c r="A33" s="90" t="s">
        <v>63</v>
      </c>
      <c r="B33" s="91"/>
      <c r="C33" s="92"/>
      <c r="D33" s="93"/>
      <c r="E33" s="93"/>
      <c r="F33" s="93"/>
      <c r="G33" s="93"/>
      <c r="H33" s="93"/>
      <c r="I33" s="93"/>
      <c r="J33" s="91" t="s">
        <v>151</v>
      </c>
      <c r="K33" s="92"/>
      <c r="L33" s="93"/>
      <c r="M33" s="93"/>
      <c r="N33" s="93"/>
      <c r="O33" s="93"/>
      <c r="P33" s="93"/>
      <c r="Q33" s="94"/>
      <c r="R33" s="76"/>
      <c r="S33" s="95"/>
      <c r="T33" s="95"/>
      <c r="U33" s="115" t="s">
        <v>85</v>
      </c>
      <c r="V33" s="116"/>
      <c r="W33" s="117"/>
      <c r="X33" s="99" t="s">
        <v>58</v>
      </c>
      <c r="Y33" s="100"/>
      <c r="Z33" s="101"/>
      <c r="AA33" s="102"/>
      <c r="AB33" s="103" t="s">
        <v>94</v>
      </c>
      <c r="AC33" s="104"/>
      <c r="AD33" s="105"/>
      <c r="AE33" s="106"/>
      <c r="AF33" s="107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107"/>
      <c r="AX33" s="93"/>
      <c r="AY33" s="93"/>
      <c r="AZ33" s="93"/>
      <c r="BA33" s="107"/>
      <c r="BB33" s="94"/>
    </row>
    <row r="34" spans="1:54" s="89" customFormat="1" ht="15.95" customHeight="1">
      <c r="A34" s="71" t="s">
        <v>64</v>
      </c>
      <c r="B34" s="91"/>
      <c r="C34" s="92"/>
      <c r="D34" s="93"/>
      <c r="E34" s="93"/>
      <c r="F34" s="93"/>
      <c r="G34" s="93"/>
      <c r="H34" s="93"/>
      <c r="I34" s="93"/>
      <c r="J34" s="91" t="s">
        <v>152</v>
      </c>
      <c r="K34" s="92"/>
      <c r="L34" s="93"/>
      <c r="M34" s="93"/>
      <c r="N34" s="93"/>
      <c r="O34" s="93"/>
      <c r="P34" s="93"/>
      <c r="Q34" s="94"/>
      <c r="R34" s="76"/>
      <c r="S34" s="95"/>
      <c r="T34" s="95"/>
      <c r="U34" s="115" t="s">
        <v>85</v>
      </c>
      <c r="V34" s="116"/>
      <c r="W34" s="117"/>
      <c r="X34" s="99" t="s">
        <v>58</v>
      </c>
      <c r="Y34" s="100"/>
      <c r="Z34" s="101"/>
      <c r="AA34" s="102"/>
      <c r="AB34" s="103" t="s">
        <v>94</v>
      </c>
      <c r="AC34" s="104"/>
      <c r="AD34" s="105"/>
      <c r="AE34" s="106"/>
      <c r="AF34" s="107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107"/>
      <c r="AX34" s="93"/>
      <c r="AY34" s="93"/>
      <c r="AZ34" s="93"/>
      <c r="BA34" s="107"/>
      <c r="BB34" s="94"/>
    </row>
    <row r="35" spans="1:54" s="89" customFormat="1" ht="15.95" customHeight="1">
      <c r="A35" s="90" t="s">
        <v>65</v>
      </c>
      <c r="B35" s="91"/>
      <c r="C35" s="92"/>
      <c r="D35" s="93"/>
      <c r="E35" s="93"/>
      <c r="F35" s="93"/>
      <c r="G35" s="93"/>
      <c r="H35" s="93"/>
      <c r="I35" s="93"/>
      <c r="J35" s="91" t="s">
        <v>153</v>
      </c>
      <c r="K35" s="92"/>
      <c r="L35" s="93"/>
      <c r="M35" s="93"/>
      <c r="N35" s="93"/>
      <c r="O35" s="93"/>
      <c r="P35" s="93"/>
      <c r="Q35" s="94"/>
      <c r="R35" s="76"/>
      <c r="S35" s="95"/>
      <c r="T35" s="95"/>
      <c r="U35" s="115" t="s">
        <v>85</v>
      </c>
      <c r="V35" s="116"/>
      <c r="W35" s="117"/>
      <c r="X35" s="99" t="s">
        <v>32</v>
      </c>
      <c r="Y35" s="100"/>
      <c r="Z35" s="101"/>
      <c r="AA35" s="102"/>
      <c r="AB35" s="103" t="s">
        <v>82</v>
      </c>
      <c r="AC35" s="104"/>
      <c r="AD35" s="105"/>
      <c r="AE35" s="106"/>
      <c r="AF35" s="107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107"/>
      <c r="AX35" s="93"/>
      <c r="AY35" s="93"/>
      <c r="AZ35" s="93"/>
      <c r="BA35" s="107"/>
      <c r="BB35" s="94"/>
    </row>
    <row r="36" spans="1:54" s="89" customFormat="1" ht="15.95" customHeight="1">
      <c r="A36" s="71" t="s">
        <v>66</v>
      </c>
      <c r="B36" s="91"/>
      <c r="C36" s="92"/>
      <c r="D36" s="93"/>
      <c r="E36" s="93"/>
      <c r="F36" s="93"/>
      <c r="G36" s="93"/>
      <c r="H36" s="93"/>
      <c r="I36" s="93"/>
      <c r="J36" s="91" t="s">
        <v>154</v>
      </c>
      <c r="K36" s="92"/>
      <c r="L36" s="93"/>
      <c r="M36" s="93"/>
      <c r="N36" s="93"/>
      <c r="O36" s="93"/>
      <c r="P36" s="93"/>
      <c r="Q36" s="94"/>
      <c r="R36" s="76"/>
      <c r="S36" s="95"/>
      <c r="T36" s="95"/>
      <c r="U36" s="115" t="s">
        <v>85</v>
      </c>
      <c r="V36" s="116"/>
      <c r="W36" s="117"/>
      <c r="X36" s="99" t="s">
        <v>36</v>
      </c>
      <c r="Y36" s="100"/>
      <c r="Z36" s="101"/>
      <c r="AA36" s="102"/>
      <c r="AB36" s="103" t="s">
        <v>44</v>
      </c>
      <c r="AC36" s="104"/>
      <c r="AD36" s="105"/>
      <c r="AE36" s="106"/>
      <c r="AF36" s="107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107"/>
      <c r="AX36" s="93"/>
      <c r="AY36" s="93"/>
      <c r="AZ36" s="93"/>
      <c r="BA36" s="107"/>
      <c r="BB36" s="94"/>
    </row>
    <row r="37" spans="1:54" s="89" customFormat="1" ht="15.95" customHeight="1">
      <c r="A37" s="90" t="s">
        <v>67</v>
      </c>
      <c r="B37" s="91"/>
      <c r="C37" s="92"/>
      <c r="D37" s="93"/>
      <c r="E37" s="93"/>
      <c r="F37" s="93"/>
      <c r="G37" s="93"/>
      <c r="H37" s="93"/>
      <c r="I37" s="93"/>
      <c r="J37" s="91" t="s">
        <v>155</v>
      </c>
      <c r="K37" s="92"/>
      <c r="L37" s="93"/>
      <c r="M37" s="93"/>
      <c r="N37" s="93"/>
      <c r="O37" s="93"/>
      <c r="P37" s="93"/>
      <c r="Q37" s="94"/>
      <c r="R37" s="76"/>
      <c r="S37" s="95"/>
      <c r="T37" s="95"/>
      <c r="U37" s="115" t="s">
        <v>85</v>
      </c>
      <c r="V37" s="116"/>
      <c r="W37" s="117"/>
      <c r="X37" s="99" t="s">
        <v>32</v>
      </c>
      <c r="Y37" s="100"/>
      <c r="Z37" s="101"/>
      <c r="AA37" s="102"/>
      <c r="AB37" s="103" t="s">
        <v>82</v>
      </c>
      <c r="AC37" s="104"/>
      <c r="AD37" s="105"/>
      <c r="AE37" s="106"/>
      <c r="AF37" s="107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107"/>
      <c r="AX37" s="93"/>
      <c r="AY37" s="93"/>
      <c r="AZ37" s="93"/>
      <c r="BA37" s="107"/>
      <c r="BB37" s="94"/>
    </row>
    <row r="38" spans="1:54" s="89" customFormat="1" ht="15.95" customHeight="1">
      <c r="A38" s="71" t="s">
        <v>68</v>
      </c>
      <c r="B38" s="91"/>
      <c r="C38" s="92"/>
      <c r="D38" s="93"/>
      <c r="E38" s="93"/>
      <c r="F38" s="93"/>
      <c r="G38" s="93"/>
      <c r="H38" s="93"/>
      <c r="I38" s="93"/>
      <c r="J38" s="91" t="s">
        <v>156</v>
      </c>
      <c r="K38" s="92"/>
      <c r="L38" s="93"/>
      <c r="M38" s="93"/>
      <c r="N38" s="93"/>
      <c r="O38" s="93"/>
      <c r="P38" s="93"/>
      <c r="Q38" s="94"/>
      <c r="R38" s="76"/>
      <c r="S38" s="95"/>
      <c r="T38" s="95"/>
      <c r="U38" s="115" t="s">
        <v>85</v>
      </c>
      <c r="V38" s="116"/>
      <c r="W38" s="117"/>
      <c r="X38" s="99" t="s">
        <v>58</v>
      </c>
      <c r="Y38" s="100"/>
      <c r="Z38" s="101"/>
      <c r="AA38" s="102"/>
      <c r="AB38" s="103" t="s">
        <v>94</v>
      </c>
      <c r="AC38" s="104"/>
      <c r="AD38" s="105"/>
      <c r="AE38" s="106"/>
      <c r="AF38" s="107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107"/>
      <c r="AX38" s="93"/>
      <c r="AY38" s="93"/>
      <c r="AZ38" s="93"/>
      <c r="BA38" s="107"/>
      <c r="BB38" s="94"/>
    </row>
  </sheetData>
  <mergeCells count="26">
    <mergeCell ref="U26:W26"/>
    <mergeCell ref="A1:H3"/>
    <mergeCell ref="AI2:AL3"/>
    <mergeCell ref="AM2:AP3"/>
    <mergeCell ref="U7:W7"/>
    <mergeCell ref="U8:W8"/>
    <mergeCell ref="U9:W9"/>
    <mergeCell ref="U11:W11"/>
    <mergeCell ref="U19:W19"/>
    <mergeCell ref="U20:W20"/>
    <mergeCell ref="U21:W21"/>
    <mergeCell ref="U22:W22"/>
    <mergeCell ref="U24:W24"/>
    <mergeCell ref="U25:W25"/>
    <mergeCell ref="U38:W38"/>
    <mergeCell ref="U27:W27"/>
    <mergeCell ref="U28:W28"/>
    <mergeCell ref="U29:W29"/>
    <mergeCell ref="U30:W30"/>
    <mergeCell ref="U31:W31"/>
    <mergeCell ref="U32:W32"/>
    <mergeCell ref="U33:W33"/>
    <mergeCell ref="U34:W34"/>
    <mergeCell ref="U35:W35"/>
    <mergeCell ref="U36:W36"/>
    <mergeCell ref="U37:W37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BC8"/>
  <sheetViews>
    <sheetView showGridLines="0" view="pageBreakPreview" topLeftCell="J1" zoomScaleSheetLayoutView="100" workbookViewId="0">
      <selection activeCell="J1287" sqref="A9:XFD128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157</v>
      </c>
      <c r="R2" s="45"/>
      <c r="S2" s="45"/>
      <c r="T2" s="45"/>
      <c r="U2" s="45"/>
      <c r="V2" s="45"/>
      <c r="W2" s="45"/>
      <c r="X2" s="45"/>
      <c r="Y2" s="48"/>
      <c r="Z2" s="43" t="s">
        <v>157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158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114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</sheetData>
  <mergeCells count="5"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C9"/>
  <sheetViews>
    <sheetView showGridLines="0" view="pageBreakPreview" topLeftCell="J1" zoomScaleSheetLayoutView="100" workbookViewId="0">
      <selection activeCell="S20" sqref="S2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8" t="s">
        <v>14</v>
      </c>
      <c r="B1" s="119"/>
      <c r="C1" s="119"/>
      <c r="D1" s="119"/>
      <c r="E1" s="119"/>
      <c r="F1" s="119"/>
      <c r="G1" s="119"/>
      <c r="H1" s="120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1"/>
      <c r="B2" s="122"/>
      <c r="C2" s="122"/>
      <c r="D2" s="122"/>
      <c r="E2" s="122"/>
      <c r="F2" s="122"/>
      <c r="G2" s="122"/>
      <c r="H2" s="123"/>
      <c r="I2" s="43"/>
      <c r="J2" s="44"/>
      <c r="K2" s="44"/>
      <c r="L2" s="45"/>
      <c r="M2" s="45"/>
      <c r="N2" s="46"/>
      <c r="O2" s="45"/>
      <c r="P2" s="45"/>
      <c r="Q2" s="47" t="s">
        <v>159</v>
      </c>
      <c r="R2" s="45"/>
      <c r="S2" s="45"/>
      <c r="T2" s="45"/>
      <c r="U2" s="45"/>
      <c r="V2" s="45"/>
      <c r="W2" s="45"/>
      <c r="X2" s="45"/>
      <c r="Y2" s="48"/>
      <c r="Z2" s="43" t="s">
        <v>159</v>
      </c>
      <c r="AA2" s="49"/>
      <c r="AB2" s="49"/>
      <c r="AC2" s="49"/>
      <c r="AD2" s="49"/>
      <c r="AE2" s="50"/>
      <c r="AF2" s="50"/>
      <c r="AG2" s="50"/>
      <c r="AH2" s="50"/>
      <c r="AI2" s="124" t="s">
        <v>101</v>
      </c>
      <c r="AJ2" s="125"/>
      <c r="AK2" s="125"/>
      <c r="AL2" s="126"/>
      <c r="AM2" s="124"/>
      <c r="AN2" s="125"/>
      <c r="AO2" s="125"/>
      <c r="AP2" s="126"/>
    </row>
    <row r="3" spans="1:55" ht="15.95" customHeight="1">
      <c r="A3" s="121"/>
      <c r="B3" s="122"/>
      <c r="C3" s="122"/>
      <c r="D3" s="122"/>
      <c r="E3" s="122"/>
      <c r="F3" s="122"/>
      <c r="G3" s="122"/>
      <c r="H3" s="123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7"/>
      <c r="AJ3" s="128"/>
      <c r="AK3" s="128"/>
      <c r="AL3" s="129"/>
      <c r="AM3" s="127"/>
      <c r="AN3" s="128"/>
      <c r="AO3" s="128"/>
      <c r="AP3" s="129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158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5" t="s">
        <v>85</v>
      </c>
      <c r="V7" s="116"/>
      <c r="W7" s="117"/>
      <c r="X7" s="99" t="s">
        <v>36</v>
      </c>
      <c r="Y7" s="100"/>
      <c r="Z7" s="101"/>
      <c r="AA7" s="102"/>
      <c r="AB7" s="103" t="s">
        <v>43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5" t="s">
        <v>85</v>
      </c>
      <c r="V8" s="116"/>
      <c r="W8" s="117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116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5" t="s">
        <v>85</v>
      </c>
      <c r="V9" s="116"/>
      <c r="W9" s="117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A1:H3"/>
    <mergeCell ref="AI2:AL3"/>
    <mergeCell ref="AM2:AP3"/>
    <mergeCell ref="U7:W7"/>
    <mergeCell ref="U9:W9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38</vt:i4>
      </vt:variant>
    </vt:vector>
  </HeadingPairs>
  <TitlesOfParts>
    <vt:vector size="59" baseType="lpstr">
      <vt:lpstr>表紙</vt:lpstr>
      <vt:lpstr>テーブル一覧</vt:lpstr>
      <vt:lpstr>麦品_catalog_product_entity</vt:lpstr>
      <vt:lpstr>麦品_c_p_e_datetime</vt:lpstr>
      <vt:lpstr>麦品_c_p_e_decimal</vt:lpstr>
      <vt:lpstr>麦品_c_p_e_int</vt:lpstr>
      <vt:lpstr>麦品_c_p_e_text</vt:lpstr>
      <vt:lpstr>麦品_c_p_e_varchar</vt:lpstr>
      <vt:lpstr>麦米_eav_entity_store</vt:lpstr>
      <vt:lpstr>麦米_eav_entity_type</vt:lpstr>
      <vt:lpstr>麦米_eav_entity</vt:lpstr>
      <vt:lpstr>麦米_eav_entity_datetime</vt:lpstr>
      <vt:lpstr>麦米_eav_entity_decimal</vt:lpstr>
      <vt:lpstr>麦米_eav_entity_int</vt:lpstr>
      <vt:lpstr>麦米_eav_entity_text</vt:lpstr>
      <vt:lpstr>麦米_eav_entity_varchar</vt:lpstr>
      <vt:lpstr>麦米_eav_attribute_set</vt:lpstr>
      <vt:lpstr>麦米_eav_attribute_group</vt:lpstr>
      <vt:lpstr>麦米_eav_attribute</vt:lpstr>
      <vt:lpstr>麦米_eav_attribute_option</vt:lpstr>
      <vt:lpstr>麦米_eav_attribute_option_value</vt:lpstr>
      <vt:lpstr>麦品_c_p_e_datetime!Print_Area</vt:lpstr>
      <vt:lpstr>麦品_c_p_e_decimal!Print_Area</vt:lpstr>
      <vt:lpstr>麦品_c_p_e_int!Print_Area</vt:lpstr>
      <vt:lpstr>麦品_c_p_e_text!Print_Area</vt:lpstr>
      <vt:lpstr>麦品_c_p_e_varchar!Print_Area</vt:lpstr>
      <vt:lpstr>麦品_catalog_product_entity!Print_Area</vt:lpstr>
      <vt:lpstr>麦米_eav_attribute!Print_Area</vt:lpstr>
      <vt:lpstr>麦米_eav_attribute_group!Print_Area</vt:lpstr>
      <vt:lpstr>麦米_eav_attribute_option!Print_Area</vt:lpstr>
      <vt:lpstr>麦米_eav_attribute_option_value!Print_Area</vt:lpstr>
      <vt:lpstr>麦米_eav_attribute_set!Print_Area</vt:lpstr>
      <vt:lpstr>麦米_eav_entity!Print_Area</vt:lpstr>
      <vt:lpstr>麦米_eav_entity_datetime!Print_Area</vt:lpstr>
      <vt:lpstr>麦米_eav_entity_decimal!Print_Area</vt:lpstr>
      <vt:lpstr>麦米_eav_entity_int!Print_Area</vt:lpstr>
      <vt:lpstr>麦米_eav_entity_store!Print_Area</vt:lpstr>
      <vt:lpstr>麦米_eav_entity_text!Print_Area</vt:lpstr>
      <vt:lpstr>麦米_eav_entity_type!Print_Area</vt:lpstr>
      <vt:lpstr>麦米_eav_entity_varchar!Print_Area</vt:lpstr>
      <vt:lpstr>麦品_c_p_e_datetime!Print_Titles</vt:lpstr>
      <vt:lpstr>麦品_c_p_e_decimal!Print_Titles</vt:lpstr>
      <vt:lpstr>麦品_c_p_e_int!Print_Titles</vt:lpstr>
      <vt:lpstr>麦品_c_p_e_text!Print_Titles</vt:lpstr>
      <vt:lpstr>麦品_c_p_e_varchar!Print_Titles</vt:lpstr>
      <vt:lpstr>麦品_catalog_product_entity!Print_Titles</vt:lpstr>
      <vt:lpstr>麦米_eav_attribute!Print_Titles</vt:lpstr>
      <vt:lpstr>麦米_eav_attribute_group!Print_Titles</vt:lpstr>
      <vt:lpstr>麦米_eav_attribute_option!Print_Titles</vt:lpstr>
      <vt:lpstr>麦米_eav_attribute_option_value!Print_Titles</vt:lpstr>
      <vt:lpstr>麦米_eav_attribute_set!Print_Titles</vt:lpstr>
      <vt:lpstr>麦米_eav_entity!Print_Titles</vt:lpstr>
      <vt:lpstr>麦米_eav_entity_datetime!Print_Titles</vt:lpstr>
      <vt:lpstr>麦米_eav_entity_decimal!Print_Titles</vt:lpstr>
      <vt:lpstr>麦米_eav_entity_int!Print_Titles</vt:lpstr>
      <vt:lpstr>麦米_eav_entity_store!Print_Titles</vt:lpstr>
      <vt:lpstr>麦米_eav_entity_text!Print_Titles</vt:lpstr>
      <vt:lpstr>麦米_eav_entity_type!Print_Titles</vt:lpstr>
      <vt:lpstr>麦米_eav_entity_varchar!Print_Titles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Administrator</cp:lastModifiedBy>
  <cp:lastPrinted>2019-11-22T07:20:49Z</cp:lastPrinted>
  <dcterms:created xsi:type="dcterms:W3CDTF">2000-02-14T10:07:54Z</dcterms:created>
  <dcterms:modified xsi:type="dcterms:W3CDTF">2020-03-17T15:31:38Z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