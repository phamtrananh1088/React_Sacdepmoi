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hPT\Documents\Visual Studio 2019\Projects\React_Sacdepmoi\Document\"/>
    </mc:Choice>
  </mc:AlternateContent>
  <xr:revisionPtr revIDLastSave="0" documentId="13_ncr:1_{49100482-EF53-47C8-9E74-20EBD608151D}" xr6:coauthVersionLast="45" xr6:coauthVersionMax="45" xr10:uidLastSave="{00000000-0000-0000-0000-000000000000}"/>
  <bookViews>
    <workbookView xWindow="-120" yWindow="-120" windowWidth="24240" windowHeight="13140" tabRatio="923" firstSheet="18" activeTab="24" xr2:uid="{00000000-000D-0000-FFFF-FFFF00000000}"/>
  </bookViews>
  <sheets>
    <sheet name="表紙" sheetId="1" r:id="rId1"/>
    <sheet name="テーブル一覧" sheetId="2" r:id="rId2"/>
    <sheet name="麦品_catalog_product_entity" sheetId="16" r:id="rId3"/>
    <sheet name="麦品_c_p_e_datetime" sheetId="17" r:id="rId4"/>
    <sheet name="麦品_c_p_e_decimal" sheetId="18" r:id="rId5"/>
    <sheet name="麦品_c_p_e_int" sheetId="19" r:id="rId6"/>
    <sheet name="麦品_c_p_e_text" sheetId="20" r:id="rId7"/>
    <sheet name="麦品_c_p_e_varchar" sheetId="21" r:id="rId8"/>
    <sheet name="麦米_eav_entity_store" sheetId="3" r:id="rId9"/>
    <sheet name="麦米_eav_entity_type" sheetId="4" r:id="rId10"/>
    <sheet name="麦米_eav_entity" sheetId="5" r:id="rId11"/>
    <sheet name="麦米_eav_entity_datetime" sheetId="6" r:id="rId12"/>
    <sheet name="麦米_eav_entity_decimal" sheetId="7" r:id="rId13"/>
    <sheet name="麦米_eav_entity_int" sheetId="8" r:id="rId14"/>
    <sheet name="麦米_eav_entity_text" sheetId="9" r:id="rId15"/>
    <sheet name="麦米_eav_entity_varchar" sheetId="10" r:id="rId16"/>
    <sheet name="麦米_eav_attribute_set" sheetId="11" r:id="rId17"/>
    <sheet name="麦米_eav_attribute_group" sheetId="12" r:id="rId18"/>
    <sheet name="麦米_eav_entity_attribute" sheetId="22" r:id="rId19"/>
    <sheet name="麦米_eav_attribute" sheetId="13" r:id="rId20"/>
    <sheet name="麦米_eav_attribute_option" sheetId="14" r:id="rId21"/>
    <sheet name="麦米_eav_attribute_option_value" sheetId="15" r:id="rId22"/>
    <sheet name="麦品_c_p_e_gallery" sheetId="23" r:id="rId23"/>
    <sheet name="麦品_c_p_e_media_gallery" sheetId="24" r:id="rId24"/>
    <sheet name="麦品_c_p_e_media_gallery_value" sheetId="25" r:id="rId25"/>
  </sheets>
  <definedNames>
    <definedName name="_xlnm._FilterDatabase" localSheetId="1" hidden="1">テーブル一覧!$A$1:$I$13</definedName>
    <definedName name="_xlnm.Print_Area" localSheetId="3">麦品_c_p_e_datetime!$A$1:$BB$11</definedName>
    <definedName name="_xlnm.Print_Area" localSheetId="4">麦品_c_p_e_decimal!$A$1:$BB$11</definedName>
    <definedName name="_xlnm.Print_Area" localSheetId="22">麦品_c_p_e_gallery!$A$1:$BB$12</definedName>
    <definedName name="_xlnm.Print_Area" localSheetId="5">麦品_c_p_e_int!$A$1:$BB$11</definedName>
    <definedName name="_xlnm.Print_Area" localSheetId="23">麦品_c_p_e_media_gallery!$A$1:$BB$9</definedName>
    <definedName name="_xlnm.Print_Area" localSheetId="24">麦品_c_p_e_media_gallery_value!$A$1:$BB$10</definedName>
    <definedName name="_xlnm.Print_Area" localSheetId="6">麦品_c_p_e_text!$A$1:$BB$11</definedName>
    <definedName name="_xlnm.Print_Area" localSheetId="7">麦品_c_p_e_varchar!$A$1:$BB$11</definedName>
    <definedName name="_xlnm.Print_Area" localSheetId="2">麦品_catalog_product_entity!$A$1:$BB$16</definedName>
    <definedName name="_xlnm.Print_Area" localSheetId="19">麦米_eav_attribute!$A$1:$BB$38</definedName>
    <definedName name="_xlnm.Print_Area" localSheetId="17">麦米_eav_attribute_group!$A$1:$BB$10</definedName>
    <definedName name="_xlnm.Print_Area" localSheetId="20">麦米_eav_attribute_option!$A$1:$BB$8</definedName>
    <definedName name="_xlnm.Print_Area" localSheetId="21">麦米_eav_attribute_option_value!$A$1:$BB$9</definedName>
    <definedName name="_xlnm.Print_Area" localSheetId="16">麦米_eav_attribute_set!$A$1:$BB$9</definedName>
    <definedName name="_xlnm.Print_Area" localSheetId="10">麦米_eav_entity!$A$1:$BB$14</definedName>
    <definedName name="_xlnm.Print_Area" localSheetId="18">麦米_eav_entity_attribute!$A$1:$BB$11</definedName>
    <definedName name="_xlnm.Print_Area" localSheetId="11">麦米_eav_entity_datetime!$A$1:$BB$11</definedName>
    <definedName name="_xlnm.Print_Area" localSheetId="12">麦米_eav_entity_decimal!$A$1:$BB$11</definedName>
    <definedName name="_xlnm.Print_Area" localSheetId="13">麦米_eav_entity_int!$A$1:$BB$11</definedName>
    <definedName name="_xlnm.Print_Area" localSheetId="8">麦米_eav_entity_store!$A$1:$BB$10</definedName>
    <definedName name="_xlnm.Print_Area" localSheetId="14">麦米_eav_entity_text!$A$1:$BB$11</definedName>
    <definedName name="_xlnm.Print_Area" localSheetId="9">麦米_eav_entity_type!$A$1:$BB$19</definedName>
    <definedName name="_xlnm.Print_Area" localSheetId="15">麦米_eav_entity_varchar!$A$1:$BB$11</definedName>
    <definedName name="_xlnm.Print_Titles" localSheetId="3">麦品_c_p_e_datetime!$1:$5</definedName>
    <definedName name="_xlnm.Print_Titles" localSheetId="4">麦品_c_p_e_decimal!$1:$5</definedName>
    <definedName name="_xlnm.Print_Titles" localSheetId="22">麦品_c_p_e_gallery!$1:$5</definedName>
    <definedName name="_xlnm.Print_Titles" localSheetId="5">麦品_c_p_e_int!$1:$5</definedName>
    <definedName name="_xlnm.Print_Titles" localSheetId="23">麦品_c_p_e_media_gallery!$1:$5</definedName>
    <definedName name="_xlnm.Print_Titles" localSheetId="24">麦品_c_p_e_media_gallery_value!$1:$5</definedName>
    <definedName name="_xlnm.Print_Titles" localSheetId="6">麦品_c_p_e_text!$1:$5</definedName>
    <definedName name="_xlnm.Print_Titles" localSheetId="7">麦品_c_p_e_varchar!$1:$5</definedName>
    <definedName name="_xlnm.Print_Titles" localSheetId="2">麦品_catalog_product_entity!$1:$5</definedName>
    <definedName name="_xlnm.Print_Titles" localSheetId="19">麦米_eav_attribute!$1:$5</definedName>
    <definedName name="_xlnm.Print_Titles" localSheetId="17">麦米_eav_attribute_group!$1:$5</definedName>
    <definedName name="_xlnm.Print_Titles" localSheetId="20">麦米_eav_attribute_option!$1:$5</definedName>
    <definedName name="_xlnm.Print_Titles" localSheetId="21">麦米_eav_attribute_option_value!$1:$5</definedName>
    <definedName name="_xlnm.Print_Titles" localSheetId="16">麦米_eav_attribute_set!$1:$5</definedName>
    <definedName name="_xlnm.Print_Titles" localSheetId="10">麦米_eav_entity!$1:$5</definedName>
    <definedName name="_xlnm.Print_Titles" localSheetId="18">麦米_eav_entity_attribute!$1:$5</definedName>
    <definedName name="_xlnm.Print_Titles" localSheetId="11">麦米_eav_entity_datetime!$1:$5</definedName>
    <definedName name="_xlnm.Print_Titles" localSheetId="12">麦米_eav_entity_decimal!$1:$5</definedName>
    <definedName name="_xlnm.Print_Titles" localSheetId="13">麦米_eav_entity_int!$1:$5</definedName>
    <definedName name="_xlnm.Print_Titles" localSheetId="8">麦米_eav_entity_store!$1:$5</definedName>
    <definedName name="_xlnm.Print_Titles" localSheetId="14">麦米_eav_entity_text!$1:$5</definedName>
    <definedName name="_xlnm.Print_Titles" localSheetId="9">麦米_eav_entity_type!$1:$5</definedName>
    <definedName name="_xlnm.Print_Titles" localSheetId="15">麦米_eav_entity_varchar!$1:$5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2" l="1"/>
  <c r="E10" i="2"/>
  <c r="E9" i="2"/>
  <c r="E23" i="2"/>
  <c r="E12" i="2"/>
  <c r="E8" i="2"/>
  <c r="E7" i="2"/>
  <c r="E6" i="2"/>
  <c r="E5" i="2"/>
  <c r="E4" i="2"/>
  <c r="E26" i="2"/>
  <c r="E25" i="2"/>
  <c r="E24" i="2"/>
  <c r="E22" i="2"/>
  <c r="E21" i="2"/>
  <c r="E20" i="2"/>
  <c r="E19" i="2"/>
  <c r="E18" i="2"/>
  <c r="E17" i="2"/>
  <c r="E16" i="2"/>
  <c r="E15" i="2"/>
  <c r="E14" i="2"/>
  <c r="E13" i="2" l="1"/>
</calcChain>
</file>

<file path=xl/sharedStrings.xml><?xml version="1.0" encoding="utf-8"?>
<sst xmlns="http://schemas.openxmlformats.org/spreadsheetml/2006/main" count="1440" uniqueCount="199">
  <si>
    <t>DB定義図</t>
    <rPh sb="2" eb="4">
      <t>テイギ</t>
    </rPh>
    <rPh sb="4" eb="5">
      <t>ズ</t>
    </rPh>
    <phoneticPr fontId="6"/>
  </si>
  <si>
    <t>ユーザー</t>
    <phoneticPr fontId="4"/>
  </si>
  <si>
    <t>株式会社 東計電算</t>
    <rPh sb="0" eb="4">
      <t>カブシキガイシャ</t>
    </rPh>
    <rPh sb="5" eb="6">
      <t>トウ</t>
    </rPh>
    <rPh sb="6" eb="7">
      <t>ケイ</t>
    </rPh>
    <rPh sb="7" eb="9">
      <t>デンサン</t>
    </rPh>
    <phoneticPr fontId="6"/>
  </si>
  <si>
    <t>表領域(MB)</t>
    <rPh sb="0" eb="1">
      <t>ヒョウ</t>
    </rPh>
    <rPh sb="1" eb="3">
      <t>リョウイキ</t>
    </rPh>
    <phoneticPr fontId="6"/>
  </si>
  <si>
    <t>№</t>
    <phoneticPr fontId="6"/>
  </si>
  <si>
    <t>最新修正履歴</t>
    <rPh sb="0" eb="2">
      <t>サイシン</t>
    </rPh>
    <rPh sb="2" eb="4">
      <t>シュウセイ</t>
    </rPh>
    <rPh sb="4" eb="6">
      <t>リレキ</t>
    </rPh>
    <phoneticPr fontId="6"/>
  </si>
  <si>
    <t>備考</t>
    <rPh sb="0" eb="2">
      <t>ビコウ</t>
    </rPh>
    <phoneticPr fontId="6"/>
  </si>
  <si>
    <t>住宅・建設システム営業部　住宅システム課</t>
    <rPh sb="0" eb="2">
      <t>ジュウタク</t>
    </rPh>
    <rPh sb="3" eb="5">
      <t>ケンセツ</t>
    </rPh>
    <rPh sb="9" eb="11">
      <t>エイギョウ</t>
    </rPh>
    <rPh sb="11" eb="12">
      <t>ブ</t>
    </rPh>
    <rPh sb="13" eb="15">
      <t>ジュウタク</t>
    </rPh>
    <rPh sb="19" eb="20">
      <t>カ</t>
    </rPh>
    <phoneticPr fontId="6"/>
  </si>
  <si>
    <t>リンク</t>
    <phoneticPr fontId="6"/>
  </si>
  <si>
    <t>SYSTEM</t>
    <phoneticPr fontId="6"/>
  </si>
  <si>
    <t>ユor麦</t>
    <rPh sb="3" eb="4">
      <t>ムギ</t>
    </rPh>
    <phoneticPr fontId="6"/>
  </si>
  <si>
    <t>麦</t>
    <rPh sb="0" eb="1">
      <t>ムギ</t>
    </rPh>
    <phoneticPr fontId="6"/>
  </si>
  <si>
    <t>シート名</t>
    <rPh sb="3" eb="4">
      <t>メイ</t>
    </rPh>
    <phoneticPr fontId="6"/>
  </si>
  <si>
    <t>テーブルID（使用するテーブル）</t>
    <rPh sb="7" eb="9">
      <t>シヨウ</t>
    </rPh>
    <phoneticPr fontId="6"/>
  </si>
  <si>
    <t>ＤＢ定義図</t>
    <rPh sb="2" eb="4">
      <t>テイギ</t>
    </rPh>
    <rPh sb="4" eb="5">
      <t>ズ</t>
    </rPh>
    <phoneticPr fontId="4"/>
  </si>
  <si>
    <t>テーブル名</t>
    <rPh sb="4" eb="5">
      <t>メイ</t>
    </rPh>
    <phoneticPr fontId="4"/>
  </si>
  <si>
    <t>テーブルID</t>
    <phoneticPr fontId="4"/>
  </si>
  <si>
    <t>作成日</t>
    <rPh sb="0" eb="3">
      <t>サクセイビ</t>
    </rPh>
    <phoneticPr fontId="4"/>
  </si>
  <si>
    <t>更新日</t>
    <rPh sb="0" eb="2">
      <t>コウシン</t>
    </rPh>
    <rPh sb="2" eb="3">
      <t>ビ</t>
    </rPh>
    <phoneticPr fontId="4"/>
  </si>
  <si>
    <t>№</t>
  </si>
  <si>
    <t>項目名</t>
    <phoneticPr fontId="4"/>
  </si>
  <si>
    <t>カラム名</t>
    <phoneticPr fontId="4"/>
  </si>
  <si>
    <t>PK</t>
    <phoneticPr fontId="4"/>
  </si>
  <si>
    <t>K1</t>
    <phoneticPr fontId="4"/>
  </si>
  <si>
    <t>K2</t>
    <phoneticPr fontId="4"/>
  </si>
  <si>
    <t>NOT NULL</t>
    <phoneticPr fontId="4"/>
  </si>
  <si>
    <t>編成</t>
    <rPh sb="0" eb="2">
      <t>ヘンセイ</t>
    </rPh>
    <phoneticPr fontId="4"/>
  </si>
  <si>
    <t>桁数</t>
    <rPh sb="0" eb="2">
      <t>ケタスウ</t>
    </rPh>
    <phoneticPr fontId="4"/>
  </si>
  <si>
    <t>ﾃﾞﾌｫﾙﾄ</t>
    <phoneticPr fontId="4"/>
  </si>
  <si>
    <t>説 明</t>
    <rPh sb="0" eb="1">
      <t>セツ</t>
    </rPh>
    <rPh sb="2" eb="3">
      <t>メイ</t>
    </rPh>
    <phoneticPr fontId="4"/>
  </si>
  <si>
    <t>1</t>
    <phoneticPr fontId="6"/>
  </si>
  <si>
    <t>○</t>
    <phoneticPr fontId="6"/>
  </si>
  <si>
    <t>varchar</t>
  </si>
  <si>
    <t>2</t>
    <phoneticPr fontId="4"/>
  </si>
  <si>
    <t>3</t>
    <phoneticPr fontId="6"/>
  </si>
  <si>
    <t>4</t>
  </si>
  <si>
    <t>int</t>
  </si>
  <si>
    <t>5</t>
  </si>
  <si>
    <t>smallint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</si>
  <si>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</si>
  <si>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</si>
  <si>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</si>
  <si>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</si>
  <si>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</si>
  <si>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</si>
  <si>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</si>
  <si>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</si>
  <si>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</si>
  <si>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datetime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</si>
  <si>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</si>
  <si>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</si>
  <si>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</si>
  <si>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</si>
  <si>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</si>
  <si>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</si>
  <si>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</si>
  <si>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</si>
  <si>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</si>
  <si>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tinyint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</si>
  <si>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</si>
  <si>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</si>
  <si>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</si>
  <si>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</si>
  <si>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</si>
  <si>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</si>
  <si>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</si>
  <si>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</si>
  <si>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</si>
  <si>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</si>
  <si>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50</t>
  </si>
  <si>
    <t>Sacdepmoi</t>
  </si>
  <si>
    <t>entity_store_id</t>
  </si>
  <si>
    <t>entity_type_id</t>
  </si>
  <si>
    <t>store_id</t>
  </si>
  <si>
    <t>increment_prefix</t>
  </si>
  <si>
    <t>increment_last_id</t>
  </si>
  <si>
    <t>identity</t>
  </si>
  <si>
    <t>eav_entity_store</t>
  </si>
  <si>
    <t>eav_entity_type</t>
  </si>
  <si>
    <t>米属性</t>
  </si>
  <si>
    <t>entity_type_code</t>
  </si>
  <si>
    <t>entity_model</t>
  </si>
  <si>
    <t>255</t>
  </si>
  <si>
    <t>attribute_model</t>
  </si>
  <si>
    <t>entity_table</t>
  </si>
  <si>
    <t>○</t>
  </si>
  <si>
    <t>value_table_prefix</t>
  </si>
  <si>
    <t>entity_id_field</t>
  </si>
  <si>
    <t>is_data_sharing</t>
  </si>
  <si>
    <t>data_sharing_key</t>
  </si>
  <si>
    <t>100</t>
  </si>
  <si>
    <t>default_attribute_set_id</t>
  </si>
  <si>
    <t>increment_model</t>
  </si>
  <si>
    <t>increment_per_store</t>
  </si>
  <si>
    <t>1</t>
  </si>
  <si>
    <t>increment_pad_length</t>
  </si>
  <si>
    <t>increment_pad_char</t>
  </si>
  <si>
    <t>char</t>
  </si>
  <si>
    <t>3</t>
  </si>
  <si>
    <t>eav_entity</t>
  </si>
  <si>
    <t>2010/03/15</t>
  </si>
  <si>
    <t>2020/03/15</t>
  </si>
  <si>
    <t>attribute_set_id</t>
  </si>
  <si>
    <t>increment_id</t>
  </si>
  <si>
    <t>parent_id</t>
  </si>
  <si>
    <t>FK</t>
  </si>
  <si>
    <t>create_at</t>
  </si>
  <si>
    <t>update_at</t>
  </si>
  <si>
    <t>is_active</t>
  </si>
  <si>
    <t>eav_entity_datetime</t>
  </si>
  <si>
    <t>eav_entity_decimal</t>
  </si>
  <si>
    <t>eav_entity_int</t>
  </si>
  <si>
    <t>eav_entity_text</t>
  </si>
  <si>
    <t>value_id</t>
  </si>
  <si>
    <t>attribute_id</t>
  </si>
  <si>
    <t>entity_id</t>
  </si>
  <si>
    <t>value</t>
  </si>
  <si>
    <t>decimal</t>
  </si>
  <si>
    <t>12,4</t>
  </si>
  <si>
    <t>text</t>
  </si>
  <si>
    <t>eav_entity_varchar</t>
  </si>
  <si>
    <t>eav_attribute_set</t>
  </si>
  <si>
    <t>eav_attribute_group</t>
  </si>
  <si>
    <t>attribute_set_name</t>
  </si>
  <si>
    <t>sort_order</t>
  </si>
  <si>
    <t>eav_attribute</t>
  </si>
  <si>
    <t>attribute_group_id</t>
  </si>
  <si>
    <t>attribute_group_name</t>
  </si>
  <si>
    <t>default_id</t>
  </si>
  <si>
    <t>attribute_code</t>
  </si>
  <si>
    <t>backend_type</t>
  </si>
  <si>
    <t>backend_table</t>
  </si>
  <si>
    <t>fontend_model</t>
  </si>
  <si>
    <t>fontend_input</t>
  </si>
  <si>
    <t>fontend_input_renderer</t>
  </si>
  <si>
    <t>fontend_class</t>
  </si>
  <si>
    <t>source_model</t>
  </si>
  <si>
    <t>is_global</t>
  </si>
  <si>
    <t>is_visible</t>
  </si>
  <si>
    <t>is_required</t>
  </si>
  <si>
    <t>is_user_defined</t>
  </si>
  <si>
    <t>default_value</t>
  </si>
  <si>
    <t>is_searchable</t>
  </si>
  <si>
    <t>is_comparable</t>
  </si>
  <si>
    <t>is_visible_on_font</t>
  </si>
  <si>
    <t>is_html_allowed_on_font</t>
  </si>
  <si>
    <t>is_unique</t>
  </si>
  <si>
    <t>is_used_for_price_rules</t>
  </si>
  <si>
    <t>is_filterable</t>
  </si>
  <si>
    <t>is_filterable_in_search</t>
  </si>
  <si>
    <t>used_in_product_listing</t>
  </si>
  <si>
    <t>used_for_sort_by</t>
  </si>
  <si>
    <t>is_configurable</t>
  </si>
  <si>
    <t>apply_to</t>
  </si>
  <si>
    <t>position</t>
  </si>
  <si>
    <t>note</t>
  </si>
  <si>
    <t>is_visible_in_advanced_search</t>
  </si>
  <si>
    <t>eav_attribute_option</t>
  </si>
  <si>
    <t>option_id</t>
  </si>
  <si>
    <t>eav_attribute_option_value</t>
  </si>
  <si>
    <t>backend_model</t>
  </si>
  <si>
    <t>fonted_label</t>
  </si>
  <si>
    <t>品物</t>
  </si>
  <si>
    <t>type_id</t>
  </si>
  <si>
    <t>sku</t>
  </si>
  <si>
    <t>64</t>
  </si>
  <si>
    <t>category_ids</t>
  </si>
  <si>
    <t>created_at</t>
  </si>
  <si>
    <t>updated_at</t>
  </si>
  <si>
    <t>has_options</t>
  </si>
  <si>
    <t>required_options</t>
  </si>
  <si>
    <t>catalog_propduct_entity</t>
  </si>
  <si>
    <t>catalog_product_entity</t>
  </si>
  <si>
    <t>c_p_e_datetime</t>
  </si>
  <si>
    <t>catalog_propduct_entity_datetime</t>
  </si>
  <si>
    <t>c_p_e_decimal</t>
  </si>
  <si>
    <r>
      <t>c_p_e</t>
    </r>
    <r>
      <rPr>
        <sz val="10"/>
        <rFont val="Meiryo UI"/>
        <family val="3"/>
        <charset val="128"/>
      </rPr>
      <t>_int</t>
    </r>
  </si>
  <si>
    <t>c_p_e_text</t>
  </si>
  <si>
    <t>c_p_e_varchar</t>
  </si>
  <si>
    <t>catalog_propduct_entity_decimal</t>
  </si>
  <si>
    <t>catalog_propduct_entity_int</t>
  </si>
  <si>
    <t>catalog_propduct_entity_text</t>
  </si>
  <si>
    <t>catalog_propduct_entity_varchar</t>
  </si>
  <si>
    <t>enum('static','datetime','decimal','int','text','varchar')</t>
  </si>
  <si>
    <t>eav_entity_attribute</t>
  </si>
  <si>
    <t>entity_attribute_id</t>
  </si>
  <si>
    <t>2020/03/18</t>
  </si>
  <si>
    <t>c_p_e_gallery</t>
  </si>
  <si>
    <t>eav_entity_gallery</t>
  </si>
  <si>
    <t>c_p_e_media_gallery</t>
  </si>
  <si>
    <t>eav_entity_media_gallery</t>
  </si>
  <si>
    <t>c_p_e_media_gallery_value</t>
  </si>
  <si>
    <t>eav_entity_media_gallery_value</t>
  </si>
  <si>
    <t>catalog_product_entity_gallery</t>
  </si>
  <si>
    <t>catalog_product_entity_media_gallery</t>
  </si>
  <si>
    <t>2</t>
  </si>
  <si>
    <t>catalog_product_entity_media_gallery_value</t>
  </si>
  <si>
    <t>label</t>
  </si>
  <si>
    <t>disabled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</si>
</sst>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#,##0;\-#,##0;&quot;-&quot;"/>
    <numFmt numFmtId="167" formatCode="0.00_)"/>
  </numFmts>
  <fonts count="57"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8"/>
      <name val="ＭＳ Ｐゴシック"/>
      <family val="3"/>
      <charset val="128"/>
    </font>
    <font>
      <u/>
      <sz val="8.25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color indexed="8"/>
      <name val="Arial"/>
      <family val="2"/>
    </font>
    <font>
      <sz val="11"/>
      <name val="明朝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0"/>
      <name val="Arial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name val="明朝"/>
      <family val="3"/>
      <charset val="128"/>
    </font>
    <font>
      <sz val="11"/>
      <color theme="1"/>
      <name val="Calibri"/>
      <family val="3"/>
      <charset val="128"/>
      <scheme val="minor"/>
    </font>
    <font>
      <sz val="18"/>
      <name val="Meiryo UI"/>
      <family val="3"/>
      <charset val="128"/>
    </font>
    <font>
      <sz val="11"/>
      <name val="Meiryo UI"/>
      <family val="3"/>
      <charset val="128"/>
    </font>
    <font>
      <sz val="28"/>
      <name val="Meiryo UI"/>
      <family val="3"/>
      <charset val="128"/>
    </font>
    <font>
      <sz val="10"/>
      <name val="Meiryo UI"/>
      <family val="3"/>
      <charset val="128"/>
    </font>
    <font>
      <sz val="12"/>
      <name val="Meiryo UI"/>
      <family val="3"/>
      <charset val="128"/>
    </font>
    <font>
      <u/>
      <sz val="10"/>
      <color indexed="12"/>
      <name val="Meiryo UI"/>
      <family val="3"/>
      <charset val="128"/>
    </font>
    <font>
      <u/>
      <sz val="12"/>
      <color indexed="12"/>
      <name val="Meiryo UI"/>
      <family val="3"/>
      <charset val="128"/>
    </font>
    <font>
      <sz val="9"/>
      <name val="Meiryo UI"/>
      <family val="3"/>
      <charset val="128"/>
    </font>
    <font>
      <sz val="11"/>
      <color rgb="FFFF0000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sz val="9"/>
      <color rgb="FF000000"/>
      <name val="Meiryo UI"/>
      <family val="3"/>
      <charset val="128"/>
    </font>
    <font>
      <sz val="10"/>
      <name val="Meiryo U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gray125">
        <fgColor indexed="33"/>
        <bgColor indexed="9"/>
      </patternFill>
    </fill>
    <fill>
      <patternFill patternType="gray125">
        <fgColor indexed="35"/>
        <bgColor theme="3" tint="0.79998168889431442"/>
      </patternFill>
    </fill>
    <fill>
      <patternFill patternType="gray125">
        <fgColor indexed="35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125">
        <fgColor indexed="35"/>
        <bgColor indexed="9"/>
      </patternFill>
    </fill>
  </fills>
  <borders count="39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132">
    <xf numFmtId="0" fontId="0" fillId="0" borderId="0"/>
    <xf numFmtId="0" fontId="12" fillId="0" borderId="1">
      <alignment vertical="center"/>
    </xf>
    <xf numFmtId="0" fontId="12" fillId="0" borderId="1">
      <alignment vertical="center"/>
    </xf>
    <xf numFmtId="0" fontId="12" fillId="0" borderId="1">
      <alignment vertical="center"/>
    </xf>
    <xf numFmtId="0" fontId="25" fillId="2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166" fontId="13" fillId="0" borderId="0" applyFill="0" applyBorder="0" applyAlignment="0"/>
    <xf numFmtId="0" fontId="14" fillId="0" borderId="0"/>
    <xf numFmtId="0" fontId="42" fillId="0" borderId="0"/>
    <xf numFmtId="0" fontId="15" fillId="0" borderId="0">
      <alignment horizontal="left"/>
    </xf>
    <xf numFmtId="38" fontId="16" fillId="16" borderId="0" applyNumberFormat="0" applyBorder="0" applyAlignment="0" applyProtection="0"/>
    <xf numFmtId="0" fontId="17" fillId="0" borderId="2" applyNumberFormat="0" applyAlignment="0" applyProtection="0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38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6" fontId="18" fillId="0" borderId="0" applyFont="0" applyFill="0" applyBorder="0" applyAlignment="0" applyProtection="0"/>
    <xf numFmtId="8" fontId="18" fillId="0" borderId="0" applyFont="0" applyFill="0" applyBorder="0" applyAlignment="0" applyProtection="0"/>
    <xf numFmtId="167" fontId="19" fillId="0" borderId="0"/>
    <xf numFmtId="10" fontId="20" fillId="0" borderId="0" applyFont="0" applyFill="0" applyBorder="0" applyAlignment="0" applyProtection="0"/>
    <xf numFmtId="4" fontId="15" fillId="0" borderId="0">
      <alignment horizontal="right"/>
    </xf>
    <xf numFmtId="0" fontId="18" fillId="0" borderId="0" applyNumberFormat="0" applyFont="0" applyFill="0" applyBorder="0" applyAlignment="0" applyProtection="0">
      <alignment horizontal="left"/>
    </xf>
    <xf numFmtId="0" fontId="21" fillId="0" borderId="5">
      <alignment horizontal="center"/>
    </xf>
    <xf numFmtId="0" fontId="21" fillId="0" borderId="5">
      <alignment horizontal="center"/>
    </xf>
    <xf numFmtId="0" fontId="21" fillId="0" borderId="5">
      <alignment horizontal="center"/>
    </xf>
    <xf numFmtId="4" fontId="22" fillId="0" borderId="0">
      <alignment horizontal="right"/>
    </xf>
    <xf numFmtId="0" fontId="23" fillId="0" borderId="0">
      <alignment horizontal="left"/>
    </xf>
    <xf numFmtId="0" fontId="24" fillId="0" borderId="0">
      <alignment horizont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22" borderId="6" applyNumberFormat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24" borderId="7" applyNumberFormat="0" applyFont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2" fillId="25" borderId="9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25" borderId="1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0" fillId="7" borderId="9" applyNumberFormat="0" applyAlignment="0" applyProtection="0">
      <alignment vertical="center"/>
    </xf>
    <xf numFmtId="0" fontId="43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8" fillId="0" borderId="0"/>
    <xf numFmtId="0" fontId="8" fillId="0" borderId="0"/>
    <xf numFmtId="0" fontId="9" fillId="0" borderId="0"/>
    <xf numFmtId="0" fontId="10" fillId="0" borderId="0"/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8" fillId="0" borderId="0"/>
    <xf numFmtId="0" fontId="10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2" fillId="0" borderId="0"/>
    <xf numFmtId="0" fontId="41" fillId="4" borderId="0" applyNumberFormat="0" applyBorder="0" applyAlignment="0" applyProtection="0">
      <alignment vertical="center"/>
    </xf>
    <xf numFmtId="0" fontId="2" fillId="0" borderId="0"/>
    <xf numFmtId="0" fontId="1" fillId="0" borderId="0">
      <alignment vertical="center"/>
    </xf>
    <xf numFmtId="0" fontId="2" fillId="0" borderId="0"/>
    <xf numFmtId="0" fontId="14" fillId="0" borderId="0"/>
    <xf numFmtId="3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4">
    <xf numFmtId="0" fontId="0" fillId="0" borderId="0" xfId="0"/>
    <xf numFmtId="0" fontId="44" fillId="0" borderId="0" xfId="0" applyFont="1" applyFill="1"/>
    <xf numFmtId="0" fontId="44" fillId="0" borderId="0" xfId="0" applyFont="1"/>
    <xf numFmtId="0" fontId="44" fillId="0" borderId="15" xfId="0" applyFont="1" applyFill="1" applyBorder="1"/>
    <xf numFmtId="0" fontId="44" fillId="0" borderId="23" xfId="0" applyFont="1" applyFill="1" applyBorder="1"/>
    <xf numFmtId="0" fontId="44" fillId="0" borderId="25" xfId="0" applyFont="1" applyFill="1" applyBorder="1"/>
    <xf numFmtId="0" fontId="44" fillId="0" borderId="16" xfId="0" applyFont="1" applyFill="1" applyBorder="1"/>
    <xf numFmtId="0" fontId="44" fillId="0" borderId="0" xfId="0" applyFont="1" applyFill="1" applyBorder="1"/>
    <xf numFmtId="0" fontId="44" fillId="0" borderId="17" xfId="0" applyFont="1" applyFill="1" applyBorder="1"/>
    <xf numFmtId="0" fontId="46" fillId="0" borderId="0" xfId="0" applyFont="1" applyFill="1" applyBorder="1"/>
    <xf numFmtId="0" fontId="44" fillId="0" borderId="0" xfId="110" applyFont="1" applyFill="1"/>
    <xf numFmtId="14" fontId="44" fillId="0" borderId="0" xfId="0" quotePrefix="1" applyNumberFormat="1" applyFont="1" applyFill="1"/>
    <xf numFmtId="0" fontId="44" fillId="0" borderId="19" xfId="0" applyFont="1" applyFill="1" applyBorder="1"/>
    <xf numFmtId="0" fontId="44" fillId="0" borderId="18" xfId="0" applyFont="1" applyFill="1" applyBorder="1"/>
    <xf numFmtId="0" fontId="47" fillId="0" borderId="20" xfId="0" applyFont="1" applyFill="1" applyBorder="1" applyAlignment="1">
      <alignment horizontal="right"/>
    </xf>
    <xf numFmtId="0" fontId="44" fillId="0" borderId="0" xfId="0" applyFont="1" applyAlignment="1">
      <alignment horizontal="right"/>
    </xf>
    <xf numFmtId="0" fontId="44" fillId="0" borderId="0" xfId="0" applyFont="1" applyFill="1" applyAlignment="1">
      <alignment horizontal="right"/>
    </xf>
    <xf numFmtId="49" fontId="48" fillId="0" borderId="0" xfId="0" applyNumberFormat="1" applyFont="1" applyFill="1" applyBorder="1" applyAlignment="1">
      <alignment horizontal="center" vertical="center" wrapText="1"/>
    </xf>
    <xf numFmtId="49" fontId="45" fillId="27" borderId="4" xfId="0" applyNumberFormat="1" applyFont="1" applyFill="1" applyBorder="1" applyAlignment="1">
      <alignment vertical="center"/>
    </xf>
    <xf numFmtId="49" fontId="47" fillId="0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horizontal="left" vertical="center"/>
    </xf>
    <xf numFmtId="0" fontId="47" fillId="0" borderId="0" xfId="0" applyFont="1" applyAlignment="1">
      <alignment vertical="center"/>
    </xf>
    <xf numFmtId="49" fontId="47" fillId="0" borderId="4" xfId="0" applyNumberFormat="1" applyFont="1" applyFill="1" applyBorder="1" applyAlignment="1">
      <alignment vertical="center"/>
    </xf>
    <xf numFmtId="0" fontId="47" fillId="0" borderId="0" xfId="0" applyFont="1" applyFill="1" applyAlignment="1">
      <alignment vertical="center"/>
    </xf>
    <xf numFmtId="0" fontId="47" fillId="26" borderId="24" xfId="0" applyFont="1" applyFill="1" applyBorder="1" applyAlignment="1">
      <alignment vertical="center"/>
    </xf>
    <xf numFmtId="0" fontId="47" fillId="26" borderId="4" xfId="0" applyFont="1" applyFill="1" applyBorder="1" applyAlignment="1">
      <alignment vertical="center"/>
    </xf>
    <xf numFmtId="0" fontId="47" fillId="0" borderId="4" xfId="0" applyFont="1" applyBorder="1" applyAlignment="1">
      <alignment vertical="center"/>
    </xf>
    <xf numFmtId="0" fontId="47" fillId="0" borderId="4" xfId="0" applyFont="1" applyFill="1" applyBorder="1" applyAlignment="1">
      <alignment vertical="center"/>
    </xf>
    <xf numFmtId="0" fontId="47" fillId="0" borderId="21" xfId="0" applyFont="1" applyFill="1" applyBorder="1" applyAlignment="1">
      <alignment vertical="center"/>
    </xf>
    <xf numFmtId="0" fontId="47" fillId="29" borderId="4" xfId="0" applyFont="1" applyFill="1" applyBorder="1" applyAlignment="1">
      <alignment vertical="center"/>
    </xf>
    <xf numFmtId="0" fontId="47" fillId="30" borderId="4" xfId="0" applyFont="1" applyFill="1" applyBorder="1" applyAlignment="1">
      <alignment vertical="center"/>
    </xf>
    <xf numFmtId="0" fontId="47" fillId="0" borderId="0" xfId="0" applyFont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30" borderId="21" xfId="0" applyFont="1" applyFill="1" applyBorder="1" applyAlignment="1">
      <alignment vertical="center"/>
    </xf>
    <xf numFmtId="0" fontId="49" fillId="0" borderId="4" xfId="59" applyFont="1" applyBorder="1" applyAlignment="1" applyProtection="1">
      <alignment vertical="center"/>
    </xf>
    <xf numFmtId="49" fontId="45" fillId="31" borderId="26" xfId="0" applyNumberFormat="1" applyFont="1" applyFill="1" applyBorder="1" applyAlignment="1">
      <alignment vertical="center"/>
    </xf>
    <xf numFmtId="49" fontId="51" fillId="31" borderId="3" xfId="0" applyNumberFormat="1" applyFont="1" applyFill="1" applyBorder="1" applyAlignment="1">
      <alignment vertical="center"/>
    </xf>
    <xf numFmtId="49" fontId="45" fillId="31" borderId="3" xfId="0" applyNumberFormat="1" applyFont="1" applyFill="1" applyBorder="1" applyAlignment="1">
      <alignment vertical="center"/>
    </xf>
    <xf numFmtId="49" fontId="45" fillId="31" borderId="21" xfId="0" applyNumberFormat="1" applyFont="1" applyFill="1" applyBorder="1" applyAlignment="1">
      <alignment vertical="center"/>
    </xf>
    <xf numFmtId="49" fontId="45" fillId="31" borderId="26" xfId="0" applyNumberFormat="1" applyFont="1" applyFill="1" applyBorder="1" applyAlignment="1">
      <alignment horizontal="centerContinuous" vertical="center"/>
    </xf>
    <xf numFmtId="49" fontId="45" fillId="31" borderId="3" xfId="0" applyNumberFormat="1" applyFont="1" applyFill="1" applyBorder="1" applyAlignment="1">
      <alignment horizontal="centerContinuous" vertical="center"/>
    </xf>
    <xf numFmtId="49" fontId="45" fillId="31" borderId="21" xfId="0" applyNumberFormat="1" applyFont="1" applyFill="1" applyBorder="1" applyAlignment="1">
      <alignment horizontal="centerContinuous" vertical="center"/>
    </xf>
    <xf numFmtId="49" fontId="45" fillId="0" borderId="0" xfId="0" applyNumberFormat="1" applyFont="1" applyAlignment="1">
      <alignment horizontal="left"/>
    </xf>
    <xf numFmtId="49" fontId="45" fillId="0" borderId="16" xfId="0" applyNumberFormat="1" applyFont="1" applyFill="1" applyBorder="1" applyAlignment="1"/>
    <xf numFmtId="49" fontId="51" fillId="0" borderId="0" xfId="0" applyNumberFormat="1" applyFont="1" applyFill="1" applyBorder="1" applyAlignment="1"/>
    <xf numFmtId="49" fontId="45" fillId="0" borderId="0" xfId="0" applyNumberFormat="1" applyFont="1" applyBorder="1" applyAlignment="1"/>
    <xf numFmtId="49" fontId="45" fillId="0" borderId="0" xfId="0" applyNumberFormat="1" applyFont="1" applyAlignment="1"/>
    <xf numFmtId="49" fontId="45" fillId="0" borderId="16" xfId="0" applyNumberFormat="1" applyFont="1" applyBorder="1" applyAlignment="1"/>
    <xf numFmtId="49" fontId="45" fillId="0" borderId="17" xfId="0" applyNumberFormat="1" applyFont="1" applyBorder="1" applyAlignment="1"/>
    <xf numFmtId="49" fontId="45" fillId="0" borderId="0" xfId="0" applyNumberFormat="1" applyFont="1" applyFill="1" applyBorder="1" applyAlignment="1"/>
    <xf numFmtId="49" fontId="45" fillId="0" borderId="0" xfId="0" applyNumberFormat="1" applyFont="1" applyFill="1" applyAlignment="1"/>
    <xf numFmtId="49" fontId="51" fillId="0" borderId="16" xfId="0" applyNumberFormat="1" applyFont="1" applyFill="1" applyBorder="1" applyAlignment="1"/>
    <xf numFmtId="49" fontId="45" fillId="0" borderId="19" xfId="0" applyNumberFormat="1" applyFont="1" applyBorder="1" applyAlignment="1"/>
    <xf numFmtId="49" fontId="45" fillId="0" borderId="18" xfId="0" applyNumberFormat="1" applyFont="1" applyBorder="1" applyAlignment="1"/>
    <xf numFmtId="49" fontId="45" fillId="0" borderId="20" xfId="0" applyNumberFormat="1" applyFont="1" applyBorder="1" applyAlignment="1"/>
    <xf numFmtId="49" fontId="52" fillId="0" borderId="0" xfId="0" applyNumberFormat="1" applyFont="1" applyAlignment="1">
      <alignment horizontal="left"/>
    </xf>
    <xf numFmtId="49" fontId="48" fillId="0" borderId="3" xfId="0" applyNumberFormat="1" applyFont="1" applyFill="1" applyBorder="1" applyAlignment="1">
      <alignment horizontal="center" vertical="center" wrapText="1"/>
    </xf>
    <xf numFmtId="49" fontId="51" fillId="0" borderId="3" xfId="0" applyNumberFormat="1" applyFont="1" applyFill="1" applyBorder="1" applyAlignment="1"/>
    <xf numFmtId="49" fontId="45" fillId="0" borderId="3" xfId="0" applyNumberFormat="1" applyFont="1" applyBorder="1" applyAlignment="1"/>
    <xf numFmtId="49" fontId="45" fillId="0" borderId="3" xfId="0" quotePrefix="1" applyNumberFormat="1" applyFont="1" applyBorder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/>
    </xf>
    <xf numFmtId="49" fontId="45" fillId="0" borderId="18" xfId="0" applyNumberFormat="1" applyFont="1" applyBorder="1" applyAlignment="1">
      <alignment horizontal="center" vertical="center"/>
    </xf>
    <xf numFmtId="49" fontId="51" fillId="26" borderId="22" xfId="0" applyNumberFormat="1" applyFont="1" applyFill="1" applyBorder="1" applyAlignment="1">
      <alignment vertical="center"/>
    </xf>
    <xf numFmtId="49" fontId="51" fillId="26" borderId="26" xfId="0" applyNumberFormat="1" applyFont="1" applyFill="1" applyBorder="1" applyAlignment="1">
      <alignment horizontal="centerContinuous" vertical="center"/>
    </xf>
    <xf numFmtId="49" fontId="51" fillId="26" borderId="3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vertical="center"/>
    </xf>
    <xf numFmtId="49" fontId="53" fillId="26" borderId="26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vertical="center"/>
    </xf>
    <xf numFmtId="49" fontId="51" fillId="0" borderId="27" xfId="0" applyNumberFormat="1" applyFont="1" applyFill="1" applyBorder="1" applyAlignment="1">
      <alignment horizontal="right"/>
    </xf>
    <xf numFmtId="49" fontId="51" fillId="0" borderId="28" xfId="0" applyNumberFormat="1" applyFont="1" applyFill="1" applyBorder="1" applyAlignment="1">
      <alignment horizontal="left"/>
    </xf>
    <xf numFmtId="49" fontId="54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left" vertical="center"/>
    </xf>
    <xf numFmtId="49" fontId="51" fillId="0" borderId="30" xfId="0" applyNumberFormat="1" applyFont="1" applyFill="1" applyBorder="1" applyAlignment="1">
      <alignment horizontal="left" vertical="center"/>
    </xf>
    <xf numFmtId="49" fontId="51" fillId="0" borderId="27" xfId="0" applyNumberFormat="1" applyFont="1" applyFill="1" applyBorder="1" applyAlignment="1">
      <alignment horizontal="center" vertical="center"/>
    </xf>
    <xf numFmtId="49" fontId="51" fillId="0" borderId="28" xfId="0" applyNumberFormat="1" applyFont="1" applyFill="1" applyBorder="1" applyAlignment="1">
      <alignment horizontal="center" vertical="center"/>
    </xf>
    <xf numFmtId="49" fontId="51" fillId="0" borderId="29" xfId="0" applyNumberFormat="1" applyFont="1" applyFill="1" applyBorder="1" applyAlignment="1">
      <alignment horizontal="center" vertical="center"/>
    </xf>
    <xf numFmtId="49" fontId="51" fillId="0" borderId="30" xfId="0" applyNumberFormat="1" applyFont="1" applyFill="1" applyBorder="1" applyAlignment="1">
      <alignment horizontal="center" vertical="center"/>
    </xf>
    <xf numFmtId="0" fontId="55" fillId="0" borderId="31" xfId="0" applyFont="1" applyBorder="1" applyAlignment="1">
      <alignment horizontal="left" vertical="center"/>
    </xf>
    <xf numFmtId="49" fontId="53" fillId="0" borderId="32" xfId="0" applyNumberFormat="1" applyFont="1" applyFill="1" applyBorder="1" applyAlignment="1">
      <alignment vertical="center"/>
    </xf>
    <xf numFmtId="49" fontId="53" fillId="0" borderId="33" xfId="0" applyNumberFormat="1" applyFont="1" applyFill="1" applyBorder="1" applyAlignment="1">
      <alignment vertical="center"/>
    </xf>
    <xf numFmtId="49" fontId="51" fillId="0" borderId="31" xfId="0" applyNumberFormat="1" applyFont="1" applyFill="1" applyBorder="1" applyAlignment="1">
      <alignment horizontal="right" vertical="center"/>
    </xf>
    <xf numFmtId="49" fontId="51" fillId="0" borderId="33" xfId="0" applyNumberFormat="1" applyFont="1" applyFill="1" applyBorder="1" applyAlignment="1">
      <alignment horizontal="right" vertical="center"/>
    </xf>
    <xf numFmtId="49" fontId="51" fillId="0" borderId="28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vertical="center"/>
    </xf>
    <xf numFmtId="49" fontId="51" fillId="0" borderId="30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horizontal="left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0" fontId="55" fillId="0" borderId="35" xfId="0" applyFont="1" applyBorder="1" applyAlignment="1">
      <alignment horizontal="left"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5" xfId="0" applyNumberFormat="1" applyFont="1" applyFill="1" applyBorder="1" applyAlignment="1">
      <alignment horizontal="right"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38" xfId="0" applyNumberFormat="1" applyFont="1" applyFill="1" applyBorder="1" applyAlignment="1">
      <alignment horizontal="left"/>
    </xf>
    <xf numFmtId="49" fontId="51" fillId="0" borderId="36" xfId="0" quotePrefix="1" applyNumberFormat="1" applyFont="1" applyFill="1" applyBorder="1" applyAlignment="1">
      <alignment horizontal="left"/>
    </xf>
    <xf numFmtId="49" fontId="51" fillId="0" borderId="0" xfId="0" applyNumberFormat="1" applyFont="1" applyAlignment="1">
      <alignment horizontal="left"/>
    </xf>
    <xf numFmtId="49" fontId="51" fillId="0" borderId="0" xfId="0" applyNumberFormat="1" applyFont="1" applyFill="1" applyBorder="1" applyAlignment="1">
      <alignment horizontal="center" vertical="center"/>
    </xf>
    <xf numFmtId="0" fontId="56" fillId="0" borderId="4" xfId="0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0" fontId="48" fillId="28" borderId="24" xfId="0" applyFont="1" applyFill="1" applyBorder="1" applyAlignment="1">
      <alignment vertical="center"/>
    </xf>
    <xf numFmtId="0" fontId="48" fillId="28" borderId="22" xfId="0" applyFont="1" applyFill="1" applyBorder="1" applyAlignment="1">
      <alignment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0" fillId="31" borderId="15" xfId="59" applyNumberFormat="1" applyFont="1" applyFill="1" applyBorder="1" applyAlignment="1" applyProtection="1">
      <alignment horizontal="center" vertical="center" wrapText="1"/>
    </xf>
    <xf numFmtId="49" fontId="50" fillId="31" borderId="23" xfId="59" applyNumberFormat="1" applyFont="1" applyFill="1" applyBorder="1" applyAlignment="1" applyProtection="1">
      <alignment horizontal="center" vertical="center" wrapText="1"/>
    </xf>
    <xf numFmtId="49" fontId="50" fillId="31" borderId="25" xfId="59" applyNumberFormat="1" applyFont="1" applyFill="1" applyBorder="1" applyAlignment="1" applyProtection="1">
      <alignment horizontal="center" vertical="center" wrapText="1"/>
    </xf>
    <xf numFmtId="49" fontId="50" fillId="31" borderId="16" xfId="59" applyNumberFormat="1" applyFont="1" applyFill="1" applyBorder="1" applyAlignment="1" applyProtection="1">
      <alignment horizontal="center" vertical="center" wrapText="1"/>
    </xf>
    <xf numFmtId="49" fontId="50" fillId="31" borderId="0" xfId="59" applyNumberFormat="1" applyFont="1" applyFill="1" applyBorder="1" applyAlignment="1" applyProtection="1">
      <alignment horizontal="center" vertical="center" wrapText="1"/>
    </xf>
    <xf numFmtId="49" fontId="50" fillId="31" borderId="17" xfId="59" applyNumberFormat="1" applyFont="1" applyFill="1" applyBorder="1" applyAlignment="1" applyProtection="1">
      <alignment horizontal="center" vertical="center" wrapText="1"/>
    </xf>
    <xf numFmtId="49" fontId="47" fillId="0" borderId="15" xfId="0" applyNumberFormat="1" applyFont="1" applyBorder="1" applyAlignment="1">
      <alignment horizontal="center" vertical="center"/>
    </xf>
    <xf numFmtId="49" fontId="47" fillId="0" borderId="23" xfId="0" quotePrefix="1" applyNumberFormat="1" applyFont="1" applyBorder="1" applyAlignment="1">
      <alignment horizontal="center" vertical="center"/>
    </xf>
    <xf numFmtId="49" fontId="47" fillId="0" borderId="25" xfId="0" quotePrefix="1" applyNumberFormat="1" applyFont="1" applyBorder="1" applyAlignment="1">
      <alignment horizontal="center" vertical="center"/>
    </xf>
    <xf numFmtId="49" fontId="47" fillId="0" borderId="19" xfId="0" quotePrefix="1" applyNumberFormat="1" applyFont="1" applyBorder="1" applyAlignment="1">
      <alignment horizontal="center" vertical="center"/>
    </xf>
    <xf numFmtId="49" fontId="47" fillId="0" borderId="18" xfId="0" quotePrefix="1" applyNumberFormat="1" applyFont="1" applyBorder="1" applyAlignment="1">
      <alignment horizontal="center" vertical="center"/>
    </xf>
    <xf numFmtId="49" fontId="47" fillId="0" borderId="20" xfId="0" quotePrefix="1" applyNumberFormat="1" applyFont="1" applyBorder="1" applyAlignment="1">
      <alignment horizontal="center" vertical="center"/>
    </xf>
  </cellXfs>
  <cellStyles count="132">
    <cellStyle name="1" xfId="1" xr:uid="{00000000-0005-0000-0000-000000000000}"/>
    <cellStyle name="1_02.会社に依存するマスタ" xfId="2" xr:uid="{00000000-0005-0000-0000-000001000000}"/>
    <cellStyle name="1_業務フロー" xfId="3" xr:uid="{00000000-0005-0000-0000-000002000000}"/>
    <cellStyle name="20% - アクセント 1 2" xfId="4" xr:uid="{00000000-0005-0000-0000-000003000000}"/>
    <cellStyle name="20% - アクセント 2 2" xfId="5" xr:uid="{00000000-0005-0000-0000-000004000000}"/>
    <cellStyle name="20% - アクセント 3 2" xfId="6" xr:uid="{00000000-0005-0000-0000-000005000000}"/>
    <cellStyle name="20% - アクセント 4 2" xfId="7" xr:uid="{00000000-0005-0000-0000-000006000000}"/>
    <cellStyle name="20% - アクセント 5 2" xfId="8" xr:uid="{00000000-0005-0000-0000-000007000000}"/>
    <cellStyle name="20% - アクセント 6 2" xfId="9" xr:uid="{00000000-0005-0000-0000-000008000000}"/>
    <cellStyle name="40% - アクセント 1 2" xfId="10" xr:uid="{00000000-0005-0000-0000-000009000000}"/>
    <cellStyle name="40% - アクセント 2 2" xfId="11" xr:uid="{00000000-0005-0000-0000-00000A000000}"/>
    <cellStyle name="40% - アクセント 3 2" xfId="12" xr:uid="{00000000-0005-0000-0000-00000B000000}"/>
    <cellStyle name="40% - アクセント 4 2" xfId="13" xr:uid="{00000000-0005-0000-0000-00000C000000}"/>
    <cellStyle name="40% - アクセント 5 2" xfId="14" xr:uid="{00000000-0005-0000-0000-00000D000000}"/>
    <cellStyle name="40% - アクセント 6 2" xfId="15" xr:uid="{00000000-0005-0000-0000-00000E000000}"/>
    <cellStyle name="60% - アクセント 1 2" xfId="16" xr:uid="{00000000-0005-0000-0000-00000F000000}"/>
    <cellStyle name="60% - アクセント 2 2" xfId="17" xr:uid="{00000000-0005-0000-0000-000010000000}"/>
    <cellStyle name="60% - アクセント 3 2" xfId="18" xr:uid="{00000000-0005-0000-0000-000011000000}"/>
    <cellStyle name="60% - アクセント 4 2" xfId="19" xr:uid="{00000000-0005-0000-0000-000012000000}"/>
    <cellStyle name="60% - アクセント 5 2" xfId="20" xr:uid="{00000000-0005-0000-0000-000013000000}"/>
    <cellStyle name="60% - アクセント 6 2" xfId="21" xr:uid="{00000000-0005-0000-0000-000014000000}"/>
    <cellStyle name="Calc Currency (0)" xfId="22" xr:uid="{00000000-0005-0000-0000-000015000000}"/>
    <cellStyle name="dialog" xfId="23" xr:uid="{00000000-0005-0000-0000-000016000000}"/>
    <cellStyle name="dialog 2" xfId="24" xr:uid="{00000000-0005-0000-0000-000017000000}"/>
    <cellStyle name="dialog 2 2" xfId="115" xr:uid="{00000000-0005-0000-0000-000018000000}"/>
    <cellStyle name="entry" xfId="25" xr:uid="{00000000-0005-0000-0000-000019000000}"/>
    <cellStyle name="Grey" xfId="26" xr:uid="{00000000-0005-0000-0000-00001A000000}"/>
    <cellStyle name="Header1" xfId="27" xr:uid="{00000000-0005-0000-0000-00001B000000}"/>
    <cellStyle name="Header2" xfId="28" xr:uid="{00000000-0005-0000-0000-00001C000000}"/>
    <cellStyle name="Header2 2" xfId="29" xr:uid="{00000000-0005-0000-0000-00001D000000}"/>
    <cellStyle name="Header2 2 2" xfId="30" xr:uid="{00000000-0005-0000-0000-00001E000000}"/>
    <cellStyle name="Header2 3" xfId="31" xr:uid="{00000000-0005-0000-0000-00001F000000}"/>
    <cellStyle name="Hyperlink" xfId="59" builtinId="8"/>
    <cellStyle name="Input [yellow]" xfId="32" xr:uid="{00000000-0005-0000-0000-000021000000}"/>
    <cellStyle name="Input [yellow] 2" xfId="33" xr:uid="{00000000-0005-0000-0000-000022000000}"/>
    <cellStyle name="Input [yellow] 2 2" xfId="34" xr:uid="{00000000-0005-0000-0000-000023000000}"/>
    <cellStyle name="Input [yellow] 3" xfId="35" xr:uid="{00000000-0005-0000-0000-000024000000}"/>
    <cellStyle name="Milliers [0]_AR1194" xfId="36" xr:uid="{00000000-0005-0000-0000-000025000000}"/>
    <cellStyle name="Milliers_AR1194" xfId="37" xr:uid="{00000000-0005-0000-0000-000026000000}"/>
    <cellStyle name="Mon騁aire [0]_AR1194" xfId="38" xr:uid="{00000000-0005-0000-0000-000027000000}"/>
    <cellStyle name="Mon騁aire_AR1194" xfId="39" xr:uid="{00000000-0005-0000-0000-000028000000}"/>
    <cellStyle name="Normal" xfId="0" builtinId="0"/>
    <cellStyle name="Normal - Style1" xfId="40" xr:uid="{00000000-0005-0000-0000-00002A000000}"/>
    <cellStyle name="Percent [2]" xfId="41" xr:uid="{00000000-0005-0000-0000-00002B000000}"/>
    <cellStyle name="price" xfId="42" xr:uid="{00000000-0005-0000-0000-00002C000000}"/>
    <cellStyle name="PSChar" xfId="43" xr:uid="{00000000-0005-0000-0000-00002D000000}"/>
    <cellStyle name="PSHeading" xfId="44" xr:uid="{00000000-0005-0000-0000-00002E000000}"/>
    <cellStyle name="PSHeading 2" xfId="45" xr:uid="{00000000-0005-0000-0000-00002F000000}"/>
    <cellStyle name="PSHeading 3" xfId="46" xr:uid="{00000000-0005-0000-0000-000030000000}"/>
    <cellStyle name="revised" xfId="47" xr:uid="{00000000-0005-0000-0000-000031000000}"/>
    <cellStyle name="section" xfId="48" xr:uid="{00000000-0005-0000-0000-000032000000}"/>
    <cellStyle name="title" xfId="49" xr:uid="{00000000-0005-0000-0000-000033000000}"/>
    <cellStyle name="アクセント 1 2" xfId="50" xr:uid="{00000000-0005-0000-0000-000034000000}"/>
    <cellStyle name="アクセント 2 2" xfId="51" xr:uid="{00000000-0005-0000-0000-000035000000}"/>
    <cellStyle name="アクセント 3 2" xfId="52" xr:uid="{00000000-0005-0000-0000-000036000000}"/>
    <cellStyle name="アクセント 4 2" xfId="53" xr:uid="{00000000-0005-0000-0000-000037000000}"/>
    <cellStyle name="アクセント 5 2" xfId="54" xr:uid="{00000000-0005-0000-0000-000038000000}"/>
    <cellStyle name="アクセント 6 2" xfId="55" xr:uid="{00000000-0005-0000-0000-000039000000}"/>
    <cellStyle name="タイトル 2" xfId="56" xr:uid="{00000000-0005-0000-0000-00003A000000}"/>
    <cellStyle name="チェック セル 2" xfId="57" xr:uid="{00000000-0005-0000-0000-00003B000000}"/>
    <cellStyle name="どちらでもない 2" xfId="58" xr:uid="{00000000-0005-0000-0000-00003C000000}"/>
    <cellStyle name="ハイパーリンク 2" xfId="60" xr:uid="{00000000-0005-0000-0000-00003D000000}"/>
    <cellStyle name="メモ 2" xfId="61" xr:uid="{00000000-0005-0000-0000-00003E000000}"/>
    <cellStyle name="リンク セル 2" xfId="62" xr:uid="{00000000-0005-0000-0000-00003F000000}"/>
    <cellStyle name="入力 2" xfId="79" xr:uid="{00000000-0005-0000-0000-000040000000}"/>
    <cellStyle name="出力 2" xfId="75" xr:uid="{00000000-0005-0000-0000-000041000000}"/>
    <cellStyle name="悪い 2" xfId="63" xr:uid="{00000000-0005-0000-0000-000042000000}"/>
    <cellStyle name="桁区切り 2" xfId="68" xr:uid="{00000000-0005-0000-0000-000043000000}"/>
    <cellStyle name="桁区切り 2 2" xfId="116" xr:uid="{00000000-0005-0000-0000-000044000000}"/>
    <cellStyle name="桁区切り 3" xfId="69" xr:uid="{00000000-0005-0000-0000-000045000000}"/>
    <cellStyle name="桁蟻唇Ｆ [0.00]_laroux" xfId="66" xr:uid="{00000000-0005-0000-0000-000046000000}"/>
    <cellStyle name="桁蟻唇Ｆ_laroux" xfId="67" xr:uid="{00000000-0005-0000-0000-000047000000}"/>
    <cellStyle name="標準 10" xfId="80" xr:uid="{00000000-0005-0000-0000-000048000000}"/>
    <cellStyle name="標準 11" xfId="81" xr:uid="{00000000-0005-0000-0000-000049000000}"/>
    <cellStyle name="標準 11 2" xfId="117" xr:uid="{00000000-0005-0000-0000-00004A000000}"/>
    <cellStyle name="標準 12" xfId="82" xr:uid="{00000000-0005-0000-0000-00004B000000}"/>
    <cellStyle name="標準 13" xfId="83" xr:uid="{00000000-0005-0000-0000-00004C000000}"/>
    <cellStyle name="標準 14" xfId="84" xr:uid="{00000000-0005-0000-0000-00004D000000}"/>
    <cellStyle name="標準 15" xfId="114" xr:uid="{00000000-0005-0000-0000-00004E000000}"/>
    <cellStyle name="標準 16" xfId="113" xr:uid="{00000000-0005-0000-0000-00004F000000}"/>
    <cellStyle name="標準 2" xfId="85" xr:uid="{00000000-0005-0000-0000-000050000000}"/>
    <cellStyle name="標準 2 2" xfId="86" xr:uid="{00000000-0005-0000-0000-000051000000}"/>
    <cellStyle name="標準 2 2 2" xfId="119" xr:uid="{00000000-0005-0000-0000-000052000000}"/>
    <cellStyle name="標準 2 3" xfId="87" xr:uid="{00000000-0005-0000-0000-000053000000}"/>
    <cellStyle name="標準 2 3 2" xfId="120" xr:uid="{00000000-0005-0000-0000-000054000000}"/>
    <cellStyle name="標準 2 4" xfId="118" xr:uid="{00000000-0005-0000-0000-000055000000}"/>
    <cellStyle name="標準 3" xfId="88" xr:uid="{00000000-0005-0000-0000-000056000000}"/>
    <cellStyle name="標準 3 2" xfId="89" xr:uid="{00000000-0005-0000-0000-000057000000}"/>
    <cellStyle name="標準 3 2 2" xfId="90" xr:uid="{00000000-0005-0000-0000-000058000000}"/>
    <cellStyle name="標準 3 2 2 2" xfId="121" xr:uid="{00000000-0005-0000-0000-000059000000}"/>
    <cellStyle name="標準 3 2 3" xfId="112" xr:uid="{00000000-0005-0000-0000-00005A000000}"/>
    <cellStyle name="標準 3 3" xfId="91" xr:uid="{00000000-0005-0000-0000-00005B000000}"/>
    <cellStyle name="標準 3 3 2" xfId="122" xr:uid="{00000000-0005-0000-0000-00005C000000}"/>
    <cellStyle name="標準 3 4" xfId="92" xr:uid="{00000000-0005-0000-0000-00005D000000}"/>
    <cellStyle name="標準 3 4 2" xfId="123" xr:uid="{00000000-0005-0000-0000-00005E000000}"/>
    <cellStyle name="標準 3 5" xfId="93" xr:uid="{00000000-0005-0000-0000-00005F000000}"/>
    <cellStyle name="標準 3 6" xfId="94" xr:uid="{00000000-0005-0000-0000-000060000000}"/>
    <cellStyle name="標準 3 6 2" xfId="124" xr:uid="{00000000-0005-0000-0000-000061000000}"/>
    <cellStyle name="標準 3_DB定義図＿WRS" xfId="95" xr:uid="{00000000-0005-0000-0000-000062000000}"/>
    <cellStyle name="標準 4" xfId="96" xr:uid="{00000000-0005-0000-0000-000063000000}"/>
    <cellStyle name="標準 4 2" xfId="97" xr:uid="{00000000-0005-0000-0000-000064000000}"/>
    <cellStyle name="標準 4 2 2" xfId="126" xr:uid="{00000000-0005-0000-0000-000065000000}"/>
    <cellStyle name="標準 4 3" xfId="125" xr:uid="{00000000-0005-0000-0000-000066000000}"/>
    <cellStyle name="標準 5" xfId="98" xr:uid="{00000000-0005-0000-0000-000067000000}"/>
    <cellStyle name="標準 5 2" xfId="99" xr:uid="{00000000-0005-0000-0000-000068000000}"/>
    <cellStyle name="標準 5 2 2" xfId="128" xr:uid="{00000000-0005-0000-0000-000069000000}"/>
    <cellStyle name="標準 5 3" xfId="100" xr:uid="{00000000-0005-0000-0000-00006A000000}"/>
    <cellStyle name="標準 5 3 2" xfId="129" xr:uid="{00000000-0005-0000-0000-00006B000000}"/>
    <cellStyle name="標準 5 4" xfId="101" xr:uid="{00000000-0005-0000-0000-00006C000000}"/>
    <cellStyle name="標準 5 5" xfId="102" xr:uid="{00000000-0005-0000-0000-00006D000000}"/>
    <cellStyle name="標準 5 5 2" xfId="130" xr:uid="{00000000-0005-0000-0000-00006E000000}"/>
    <cellStyle name="標準 5 6" xfId="127" xr:uid="{00000000-0005-0000-0000-00006F000000}"/>
    <cellStyle name="標準 6" xfId="103" xr:uid="{00000000-0005-0000-0000-000070000000}"/>
    <cellStyle name="標準 6 2" xfId="104" xr:uid="{00000000-0005-0000-0000-000071000000}"/>
    <cellStyle name="標準 6 3" xfId="105" xr:uid="{00000000-0005-0000-0000-000072000000}"/>
    <cellStyle name="標準 6 4" xfId="106" xr:uid="{00000000-0005-0000-0000-000073000000}"/>
    <cellStyle name="標準 7" xfId="107" xr:uid="{00000000-0005-0000-0000-000074000000}"/>
    <cellStyle name="標準 8" xfId="108" xr:uid="{00000000-0005-0000-0000-000075000000}"/>
    <cellStyle name="標準 8 2" xfId="131" xr:uid="{00000000-0005-0000-0000-000076000000}"/>
    <cellStyle name="標準 9" xfId="109" xr:uid="{00000000-0005-0000-0000-000077000000}"/>
    <cellStyle name="標準_要件定義書" xfId="110" xr:uid="{00000000-0005-0000-0000-000078000000}"/>
    <cellStyle name="脱浦 [0.00]_laroux" xfId="77" xr:uid="{00000000-0005-0000-0000-000079000000}"/>
    <cellStyle name="脱浦_laroux" xfId="78" xr:uid="{00000000-0005-0000-0000-00007A000000}"/>
    <cellStyle name="良い 2" xfId="111" xr:uid="{00000000-0005-0000-0000-00007B000000}"/>
    <cellStyle name="見出し 1 2" xfId="70" xr:uid="{00000000-0005-0000-0000-00007C000000}"/>
    <cellStyle name="見出し 2 2" xfId="71" xr:uid="{00000000-0005-0000-0000-00007D000000}"/>
    <cellStyle name="見出し 3 2" xfId="72" xr:uid="{00000000-0005-0000-0000-00007E000000}"/>
    <cellStyle name="見出し 4 2" xfId="73" xr:uid="{00000000-0005-0000-0000-00007F000000}"/>
    <cellStyle name="計算 2" xfId="64" xr:uid="{00000000-0005-0000-0000-000080000000}"/>
    <cellStyle name="説明文 2" xfId="76" xr:uid="{00000000-0005-0000-0000-000081000000}"/>
    <cellStyle name="警告文 2" xfId="65" xr:uid="{00000000-0005-0000-0000-000082000000}"/>
    <cellStyle name="集計 2" xfId="74" xr:uid="{00000000-0005-0000-0000-000083000000}"/>
  </cellStyles>
  <dxfs count="0"/>
  <tableStyles count="0" defaultTableStyle="TableStyleMedium9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M1:BA1665"/>
  <sheetViews>
    <sheetView showGridLines="0" topLeftCell="A10" workbookViewId="0">
      <selection activeCell="T9" sqref="T9"/>
    </sheetView>
  </sheetViews>
  <sheetFormatPr defaultColWidth="2.625" defaultRowHeight="24"/>
  <cols>
    <col min="1" max="16384" width="2.625" style="2"/>
  </cols>
  <sheetData>
    <row r="1" spans="13:37" s="1" customFormat="1"/>
    <row r="2" spans="13:37" s="1" customFormat="1"/>
    <row r="3" spans="13:37" s="1" customFormat="1"/>
    <row r="4" spans="13:37" s="1" customFormat="1"/>
    <row r="5" spans="13:37" s="1" customFormat="1">
      <c r="M5" s="3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5"/>
    </row>
    <row r="6" spans="13:37" s="1" customFormat="1">
      <c r="M6" s="6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8"/>
    </row>
    <row r="7" spans="13:37" s="1" customFormat="1">
      <c r="M7" s="6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8"/>
    </row>
    <row r="8" spans="13:37" s="1" customFormat="1">
      <c r="M8" s="6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</row>
    <row r="9" spans="13:37" s="1" customFormat="1" ht="37.5">
      <c r="M9" s="6"/>
      <c r="N9" s="7"/>
      <c r="O9" s="7"/>
      <c r="P9" s="7"/>
      <c r="Q9" s="7"/>
      <c r="R9" s="9"/>
      <c r="S9" s="7"/>
      <c r="T9" s="9" t="s">
        <v>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8"/>
    </row>
    <row r="10" spans="13:37" s="1" customFormat="1">
      <c r="M10" s="6"/>
      <c r="N10" s="7"/>
      <c r="O10" s="7"/>
      <c r="P10" s="7"/>
      <c r="Q10" s="7"/>
      <c r="R10" s="7"/>
      <c r="S10" s="10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8"/>
    </row>
    <row r="11" spans="13:37" s="1" customFormat="1">
      <c r="M11" s="6"/>
      <c r="N11" s="7"/>
      <c r="O11" s="7"/>
      <c r="P11" s="7"/>
      <c r="Q11" s="7"/>
      <c r="R11" s="7"/>
      <c r="S11" s="7"/>
      <c r="T11" s="7"/>
      <c r="U11" s="11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8"/>
    </row>
    <row r="12" spans="13:37" s="1" customFormat="1">
      <c r="M12" s="6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8"/>
    </row>
    <row r="13" spans="13:37" s="1" customFormat="1">
      <c r="M13" s="12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4"/>
    </row>
    <row r="14" spans="13:37" s="1" customFormat="1"/>
    <row r="15" spans="13:37" s="1" customFormat="1"/>
    <row r="16" spans="13:37" s="1" customFormat="1"/>
    <row r="17" spans="37:53" s="1" customFormat="1"/>
    <row r="18" spans="37:53" s="1" customFormat="1"/>
    <row r="19" spans="37:53" s="1" customFormat="1"/>
    <row r="20" spans="37:53" s="1" customFormat="1">
      <c r="AK20" s="11"/>
    </row>
    <row r="21" spans="37:53" s="1" customFormat="1"/>
    <row r="22" spans="37:53" s="1" customFormat="1">
      <c r="BA22" s="16" t="s">
        <v>2</v>
      </c>
    </row>
    <row r="23" spans="37:53" s="1" customFormat="1">
      <c r="BA23" s="15" t="s">
        <v>7</v>
      </c>
    </row>
    <row r="24" spans="37:53" s="1" customFormat="1"/>
    <row r="25" spans="37:53" s="1" customFormat="1"/>
    <row r="26" spans="37:53" s="1" customFormat="1"/>
    <row r="27" spans="37:53" s="1" customFormat="1"/>
    <row r="28" spans="37:53" s="1" customFormat="1"/>
    <row r="29" spans="37:53" s="1" customFormat="1"/>
    <row r="30" spans="37:53" s="1" customFormat="1"/>
    <row r="31" spans="37:53" s="1" customFormat="1"/>
    <row r="32" spans="37:53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</sheetData>
  <phoneticPr fontId="6"/>
  <pageMargins left="0.39370078740157483" right="0.39370078740157483" top="0.59055118110236227" bottom="0.59055118110236227" header="0.51181102362204722" footer="0.51181102362204722"/>
  <pageSetup paperSize="9" orientation="landscape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26"/>
  <sheetViews>
    <sheetView showGridLines="0" workbookViewId="0">
      <pane ySplit="3" topLeftCell="A4" activePane="bottomLeft" state="frozen"/>
      <selection sqref="A1:H3"/>
      <selection pane="bottomLeft" activeCell="E12" sqref="E12"/>
    </sheetView>
  </sheetViews>
  <sheetFormatPr defaultColWidth="2.625" defaultRowHeight="15" customHeight="1"/>
  <cols>
    <col min="1" max="1" width="3.625" style="21" customWidth="1"/>
    <col min="2" max="2" width="6.625" style="31" bestFit="1" customWidth="1"/>
    <col min="3" max="3" width="17.875" style="21" bestFit="1" customWidth="1"/>
    <col min="4" max="4" width="29" style="21" customWidth="1"/>
    <col min="5" max="5" width="32.125" style="21" bestFit="1" customWidth="1"/>
    <col min="6" max="6" width="29.375" style="21" customWidth="1"/>
    <col min="7" max="7" width="12.5" style="21" bestFit="1" customWidth="1"/>
    <col min="8" max="8" width="10.25" style="21" customWidth="1"/>
    <col min="9" max="12" width="2.625" style="21"/>
    <col min="13" max="13" width="4.5" style="21" bestFit="1" customWidth="1"/>
    <col min="14" max="16384" width="2.625" style="21"/>
  </cols>
  <sheetData>
    <row r="1" spans="1:32" s="20" customFormat="1" ht="15.95" customHeight="1">
      <c r="A1" s="17"/>
      <c r="B1" s="17"/>
      <c r="C1" s="17"/>
      <c r="D1" s="117" t="s">
        <v>0</v>
      </c>
      <c r="E1" s="117"/>
      <c r="F1" s="18" t="s">
        <v>1</v>
      </c>
    </row>
    <row r="2" spans="1:32" ht="15" customHeight="1">
      <c r="D2" s="118"/>
      <c r="E2" s="118"/>
      <c r="F2" s="22" t="s">
        <v>70</v>
      </c>
      <c r="X2" s="23"/>
      <c r="Y2" s="23"/>
      <c r="Z2" s="23"/>
      <c r="AA2" s="23"/>
      <c r="AB2" s="23"/>
      <c r="AC2" s="23"/>
      <c r="AD2" s="23"/>
      <c r="AE2" s="23"/>
      <c r="AF2" s="23"/>
    </row>
    <row r="3" spans="1:32" ht="15" customHeight="1">
      <c r="A3" s="26" t="s">
        <v>4</v>
      </c>
      <c r="B3" s="30" t="s">
        <v>10</v>
      </c>
      <c r="C3" s="33" t="s">
        <v>9</v>
      </c>
      <c r="D3" s="24" t="s">
        <v>12</v>
      </c>
      <c r="E3" s="24" t="s">
        <v>8</v>
      </c>
      <c r="F3" s="24" t="s">
        <v>13</v>
      </c>
      <c r="G3" s="25" t="s">
        <v>5</v>
      </c>
      <c r="H3" s="25" t="s">
        <v>3</v>
      </c>
      <c r="I3" s="21" t="s">
        <v>6</v>
      </c>
      <c r="X3" s="23"/>
      <c r="Y3" s="23"/>
      <c r="Z3" s="23"/>
      <c r="AA3" s="23"/>
      <c r="AB3" s="23"/>
      <c r="AC3" s="23"/>
      <c r="AD3" s="23"/>
      <c r="AE3" s="23"/>
      <c r="AF3" s="23"/>
    </row>
    <row r="4" spans="1:32" s="23" customFormat="1" ht="15" customHeight="1">
      <c r="A4" s="32"/>
      <c r="B4" s="32" t="s">
        <v>11</v>
      </c>
      <c r="C4" s="26" t="s">
        <v>162</v>
      </c>
      <c r="D4" s="29" t="s">
        <v>172</v>
      </c>
      <c r="E4" s="34" t="str">
        <f t="shared" ref="E4:E12" si="0">HYPERLINK("#"&amp;B4&amp;MID(C4,1,1)&amp;"_"&amp;D4&amp;"!A1",B4&amp;MID(C4,1,1)&amp;"_"&amp;D4&amp;"!")</f>
        <v>麦品_catalog_product_entity!</v>
      </c>
      <c r="F4" s="22" t="s">
        <v>77</v>
      </c>
      <c r="G4" s="19"/>
      <c r="H4" s="28"/>
    </row>
    <row r="5" spans="1:32" s="23" customFormat="1" ht="15" customHeight="1">
      <c r="A5" s="32"/>
      <c r="B5" s="32" t="s">
        <v>11</v>
      </c>
      <c r="C5" s="26" t="s">
        <v>162</v>
      </c>
      <c r="D5" s="27" t="s">
        <v>173</v>
      </c>
      <c r="E5" s="34" t="str">
        <f t="shared" si="0"/>
        <v>麦品_c_p_e_datetime!</v>
      </c>
      <c r="F5" s="27" t="s">
        <v>109</v>
      </c>
      <c r="G5" s="19"/>
      <c r="H5" s="28"/>
    </row>
    <row r="6" spans="1:32" s="23" customFormat="1" ht="15" customHeight="1">
      <c r="A6" s="32"/>
      <c r="B6" s="32" t="s">
        <v>11</v>
      </c>
      <c r="C6" s="26" t="s">
        <v>162</v>
      </c>
      <c r="D6" s="27" t="s">
        <v>175</v>
      </c>
      <c r="E6" s="34" t="str">
        <f t="shared" si="0"/>
        <v>麦品_c_p_e_decimal!</v>
      </c>
      <c r="F6" s="27" t="s">
        <v>110</v>
      </c>
      <c r="G6" s="19"/>
      <c r="H6" s="28"/>
    </row>
    <row r="7" spans="1:32" s="23" customFormat="1" ht="15" customHeight="1">
      <c r="A7" s="32"/>
      <c r="B7" s="32" t="s">
        <v>11</v>
      </c>
      <c r="C7" s="26" t="s">
        <v>162</v>
      </c>
      <c r="D7" s="112" t="s">
        <v>176</v>
      </c>
      <c r="E7" s="34" t="str">
        <f t="shared" si="0"/>
        <v>麦品_c_p_e_int!</v>
      </c>
      <c r="F7" s="27" t="s">
        <v>111</v>
      </c>
      <c r="G7" s="19"/>
      <c r="H7" s="28"/>
    </row>
    <row r="8" spans="1:32" s="23" customFormat="1" ht="15" customHeight="1">
      <c r="A8" s="32"/>
      <c r="B8" s="32" t="s">
        <v>11</v>
      </c>
      <c r="C8" s="26" t="s">
        <v>162</v>
      </c>
      <c r="D8" s="27" t="s">
        <v>177</v>
      </c>
      <c r="E8" s="34" t="str">
        <f t="shared" si="0"/>
        <v>麦品_c_p_e_text!</v>
      </c>
      <c r="F8" s="27" t="s">
        <v>112</v>
      </c>
      <c r="G8" s="19"/>
      <c r="H8" s="28"/>
    </row>
    <row r="9" spans="1:32" s="23" customFormat="1" ht="15" customHeight="1">
      <c r="A9" s="32"/>
      <c r="B9" s="32" t="s">
        <v>11</v>
      </c>
      <c r="C9" s="26" t="s">
        <v>162</v>
      </c>
      <c r="D9" s="27" t="s">
        <v>178</v>
      </c>
      <c r="E9" s="34" t="str">
        <f t="shared" ref="E9:E11" si="1">HYPERLINK("#"&amp;B9&amp;MID(C9,1,1)&amp;"_"&amp;D9&amp;"!A1",B9&amp;MID(C9,1,1)&amp;"_"&amp;D9&amp;"!")</f>
        <v>麦品_c_p_e_varchar!</v>
      </c>
      <c r="F9" s="27" t="s">
        <v>120</v>
      </c>
      <c r="G9" s="19"/>
      <c r="H9" s="28"/>
    </row>
    <row r="10" spans="1:32" s="23" customFormat="1" ht="15" customHeight="1">
      <c r="A10" s="32"/>
      <c r="B10" s="32" t="s">
        <v>11</v>
      </c>
      <c r="C10" s="26" t="s">
        <v>162</v>
      </c>
      <c r="D10" s="27" t="s">
        <v>187</v>
      </c>
      <c r="E10" s="34" t="str">
        <f t="shared" si="1"/>
        <v>麦品_c_p_e_gallery!</v>
      </c>
      <c r="F10" s="27" t="s">
        <v>188</v>
      </c>
      <c r="G10" s="19"/>
      <c r="H10" s="28"/>
    </row>
    <row r="11" spans="1:32" s="23" customFormat="1" ht="15" customHeight="1">
      <c r="A11" s="32"/>
      <c r="B11" s="32" t="s">
        <v>11</v>
      </c>
      <c r="C11" s="26" t="s">
        <v>162</v>
      </c>
      <c r="D11" s="27" t="s">
        <v>189</v>
      </c>
      <c r="E11" s="34" t="str">
        <f t="shared" si="1"/>
        <v>麦品_c_p_e_media_gallery!</v>
      </c>
      <c r="F11" s="27" t="s">
        <v>190</v>
      </c>
      <c r="G11" s="19"/>
      <c r="H11" s="28"/>
    </row>
    <row r="12" spans="1:32" s="23" customFormat="1" ht="15" customHeight="1">
      <c r="A12" s="32"/>
      <c r="B12" s="32" t="s">
        <v>11</v>
      </c>
      <c r="C12" s="26" t="s">
        <v>162</v>
      </c>
      <c r="D12" s="27" t="s">
        <v>191</v>
      </c>
      <c r="E12" s="34" t="str">
        <f t="shared" si="0"/>
        <v>麦品_c_p_e_media_gallery_value!</v>
      </c>
      <c r="F12" s="27" t="s">
        <v>192</v>
      </c>
      <c r="G12" s="19"/>
      <c r="H12" s="28"/>
    </row>
    <row r="13" spans="1:32" s="23" customFormat="1" ht="15" customHeight="1">
      <c r="A13" s="32"/>
      <c r="B13" s="32" t="s">
        <v>11</v>
      </c>
      <c r="C13" s="26" t="s">
        <v>79</v>
      </c>
      <c r="D13" s="29" t="s">
        <v>77</v>
      </c>
      <c r="E13" s="34" t="str">
        <f t="shared" ref="E13:E14" si="2">HYPERLINK("#"&amp;B13&amp;MID(C13,1,1)&amp;"_"&amp;D13&amp;"!A1",B13&amp;MID(C13,1,1)&amp;"_"&amp;D13&amp;"!")</f>
        <v>麦米_eav_entity_store!</v>
      </c>
      <c r="F13" s="22" t="s">
        <v>77</v>
      </c>
      <c r="G13" s="19"/>
      <c r="H13" s="28"/>
    </row>
    <row r="14" spans="1:32" s="23" customFormat="1" ht="15" customHeight="1">
      <c r="A14" s="32"/>
      <c r="B14" s="32" t="s">
        <v>11</v>
      </c>
      <c r="C14" s="26" t="s">
        <v>79</v>
      </c>
      <c r="D14" s="27" t="s">
        <v>78</v>
      </c>
      <c r="E14" s="34" t="str">
        <f t="shared" si="2"/>
        <v>麦米_eav_entity_type!</v>
      </c>
      <c r="F14" s="27" t="s">
        <v>78</v>
      </c>
      <c r="G14" s="19"/>
      <c r="H14" s="28"/>
    </row>
    <row r="15" spans="1:32" s="23" customFormat="1" ht="15" customHeight="1">
      <c r="A15" s="32"/>
      <c r="B15" s="32" t="s">
        <v>11</v>
      </c>
      <c r="C15" s="26" t="s">
        <v>79</v>
      </c>
      <c r="D15" s="27" t="s">
        <v>99</v>
      </c>
      <c r="E15" s="34" t="str">
        <f t="shared" ref="E15" si="3">HYPERLINK("#"&amp;B15&amp;MID(C15,1,1)&amp;"_"&amp;D15&amp;"!A1",B15&amp;MID(C15,1,1)&amp;"_"&amp;D15&amp;"!")</f>
        <v>麦米_eav_entity!</v>
      </c>
      <c r="F15" s="27" t="s">
        <v>99</v>
      </c>
      <c r="G15" s="19"/>
      <c r="H15" s="28"/>
    </row>
    <row r="16" spans="1:32" s="23" customFormat="1" ht="15" customHeight="1">
      <c r="A16" s="32"/>
      <c r="B16" s="32" t="s">
        <v>11</v>
      </c>
      <c r="C16" s="26" t="s">
        <v>79</v>
      </c>
      <c r="D16" s="27" t="s">
        <v>109</v>
      </c>
      <c r="E16" s="34" t="str">
        <f t="shared" ref="E16:E19" si="4">HYPERLINK("#"&amp;B16&amp;MID(C16,1,1)&amp;"_"&amp;D16&amp;"!A1",B16&amp;MID(C16,1,1)&amp;"_"&amp;D16&amp;"!")</f>
        <v>麦米_eav_entity_datetime!</v>
      </c>
      <c r="F16" s="27" t="s">
        <v>109</v>
      </c>
      <c r="G16" s="19"/>
      <c r="H16" s="28"/>
    </row>
    <row r="17" spans="1:8" s="23" customFormat="1" ht="15" customHeight="1">
      <c r="A17" s="32"/>
      <c r="B17" s="32" t="s">
        <v>11</v>
      </c>
      <c r="C17" s="26" t="s">
        <v>79</v>
      </c>
      <c r="D17" s="27" t="s">
        <v>110</v>
      </c>
      <c r="E17" s="34" t="str">
        <f t="shared" si="4"/>
        <v>麦米_eav_entity_decimal!</v>
      </c>
      <c r="F17" s="27" t="s">
        <v>110</v>
      </c>
      <c r="G17" s="19"/>
      <c r="H17" s="28"/>
    </row>
    <row r="18" spans="1:8" s="23" customFormat="1" ht="15" customHeight="1">
      <c r="A18" s="32"/>
      <c r="B18" s="32" t="s">
        <v>11</v>
      </c>
      <c r="C18" s="26" t="s">
        <v>79</v>
      </c>
      <c r="D18" s="27" t="s">
        <v>111</v>
      </c>
      <c r="E18" s="34" t="str">
        <f t="shared" si="4"/>
        <v>麦米_eav_entity_int!</v>
      </c>
      <c r="F18" s="27" t="s">
        <v>111</v>
      </c>
      <c r="G18" s="19"/>
      <c r="H18" s="28"/>
    </row>
    <row r="19" spans="1:8" s="23" customFormat="1" ht="15" customHeight="1">
      <c r="A19" s="32"/>
      <c r="B19" s="32" t="s">
        <v>11</v>
      </c>
      <c r="C19" s="26" t="s">
        <v>79</v>
      </c>
      <c r="D19" s="27" t="s">
        <v>112</v>
      </c>
      <c r="E19" s="34" t="str">
        <f t="shared" si="4"/>
        <v>麦米_eav_entity_text!</v>
      </c>
      <c r="F19" s="27" t="s">
        <v>112</v>
      </c>
      <c r="G19" s="19"/>
      <c r="H19" s="28"/>
    </row>
    <row r="20" spans="1:8" s="23" customFormat="1" ht="15" customHeight="1">
      <c r="A20" s="32"/>
      <c r="B20" s="32" t="s">
        <v>11</v>
      </c>
      <c r="C20" s="26" t="s">
        <v>79</v>
      </c>
      <c r="D20" s="27" t="s">
        <v>120</v>
      </c>
      <c r="E20" s="34" t="str">
        <f t="shared" ref="E20" si="5">HYPERLINK("#"&amp;B20&amp;MID(C20,1,1)&amp;"_"&amp;D20&amp;"!A1",B20&amp;MID(C20,1,1)&amp;"_"&amp;D20&amp;"!")</f>
        <v>麦米_eav_entity_varchar!</v>
      </c>
      <c r="F20" s="27" t="s">
        <v>120</v>
      </c>
      <c r="G20" s="19"/>
      <c r="H20" s="28"/>
    </row>
    <row r="21" spans="1:8" s="23" customFormat="1" ht="15" customHeight="1">
      <c r="A21" s="32"/>
      <c r="B21" s="32" t="s">
        <v>11</v>
      </c>
      <c r="C21" s="26" t="s">
        <v>79</v>
      </c>
      <c r="D21" s="27" t="s">
        <v>121</v>
      </c>
      <c r="E21" s="34" t="str">
        <f t="shared" ref="E21:E24" si="6">HYPERLINK("#"&amp;B21&amp;MID(C21,1,1)&amp;"_"&amp;D21&amp;"!A1",B21&amp;MID(C21,1,1)&amp;"_"&amp;D21&amp;"!")</f>
        <v>麦米_eav_attribute_set!</v>
      </c>
      <c r="F21" s="27" t="s">
        <v>121</v>
      </c>
      <c r="G21" s="19"/>
      <c r="H21" s="28"/>
    </row>
    <row r="22" spans="1:8" s="23" customFormat="1" ht="15" customHeight="1">
      <c r="A22" s="32"/>
      <c r="B22" s="32" t="s">
        <v>11</v>
      </c>
      <c r="C22" s="26" t="s">
        <v>79</v>
      </c>
      <c r="D22" s="27" t="s">
        <v>122</v>
      </c>
      <c r="E22" s="34" t="str">
        <f t="shared" si="6"/>
        <v>麦米_eav_attribute_group!</v>
      </c>
      <c r="F22" s="27" t="s">
        <v>122</v>
      </c>
      <c r="G22" s="19"/>
      <c r="H22" s="28"/>
    </row>
    <row r="23" spans="1:8" s="23" customFormat="1" ht="15" customHeight="1">
      <c r="A23" s="32"/>
      <c r="B23" s="32" t="s">
        <v>11</v>
      </c>
      <c r="C23" s="26" t="s">
        <v>79</v>
      </c>
      <c r="D23" s="27" t="s">
        <v>184</v>
      </c>
      <c r="E23" s="34" t="str">
        <f t="shared" ref="E23" si="7">HYPERLINK("#"&amp;B23&amp;MID(C23,1,1)&amp;"_"&amp;D23&amp;"!A1",B23&amp;MID(C23,1,1)&amp;"_"&amp;D23&amp;"!")</f>
        <v>麦米_eav_entity_attribute!</v>
      </c>
      <c r="F23" s="27" t="s">
        <v>184</v>
      </c>
      <c r="G23" s="19"/>
      <c r="H23" s="28"/>
    </row>
    <row r="24" spans="1:8" s="23" customFormat="1" ht="15" customHeight="1">
      <c r="A24" s="32"/>
      <c r="B24" s="32" t="s">
        <v>11</v>
      </c>
      <c r="C24" s="26" t="s">
        <v>79</v>
      </c>
      <c r="D24" s="27" t="s">
        <v>125</v>
      </c>
      <c r="E24" s="34" t="str">
        <f t="shared" si="6"/>
        <v>麦米_eav_attribute!</v>
      </c>
      <c r="F24" s="27" t="s">
        <v>125</v>
      </c>
      <c r="G24" s="19"/>
      <c r="H24" s="28"/>
    </row>
    <row r="25" spans="1:8" s="23" customFormat="1" ht="15" customHeight="1">
      <c r="A25" s="32"/>
      <c r="B25" s="32" t="s">
        <v>11</v>
      </c>
      <c r="C25" s="26" t="s">
        <v>79</v>
      </c>
      <c r="D25" s="27" t="s">
        <v>157</v>
      </c>
      <c r="E25" s="34" t="str">
        <f t="shared" ref="E25:E26" si="8">HYPERLINK("#"&amp;B25&amp;MID(C25,1,1)&amp;"_"&amp;D25&amp;"!A1",B25&amp;MID(C25,1,1)&amp;"_"&amp;D25&amp;"!")</f>
        <v>麦米_eav_attribute_option!</v>
      </c>
      <c r="F25" s="27" t="s">
        <v>157</v>
      </c>
      <c r="G25" s="19"/>
      <c r="H25" s="28"/>
    </row>
    <row r="26" spans="1:8" s="23" customFormat="1" ht="15" customHeight="1">
      <c r="A26" s="32"/>
      <c r="B26" s="32" t="s">
        <v>11</v>
      </c>
      <c r="C26" s="26" t="s">
        <v>79</v>
      </c>
      <c r="D26" s="27" t="s">
        <v>159</v>
      </c>
      <c r="E26" s="34" t="str">
        <f t="shared" si="8"/>
        <v>麦米_eav_attribute_option_value!</v>
      </c>
      <c r="F26" s="27" t="s">
        <v>159</v>
      </c>
      <c r="G26" s="19"/>
      <c r="H26" s="28"/>
    </row>
  </sheetData>
  <autoFilter ref="A1:I13" xr:uid="{00000000-0009-0000-0000-000001000000}"/>
  <sortState xmlns:xlrd2="http://schemas.microsoft.com/office/spreadsheetml/2017/richdata2" ref="B4:E747">
    <sortCondition ref="D4:D747"/>
    <sortCondition ref="C4:C747"/>
    <sortCondition ref="B4:B747"/>
  </sortState>
  <mergeCells count="2">
    <mergeCell ref="E1:E2"/>
    <mergeCell ref="D1:D2"/>
  </mergeCells>
  <phoneticPr fontId="6"/>
  <pageMargins left="0.47244094488188981" right="0.19685039370078741" top="0.39370078740157483" bottom="0.39370078740157483" header="0" footer="0"/>
  <pageSetup paperSize="9" orientation="landscape" horizontalDpi="300" verticalDpi="300" r:id="rId1"/>
  <headerFooter alignWithMargins="0">
    <oddFooter>&amp;L㈱東計電算&amp;C&amp;P / &amp;N ページ&amp;R製造システム営業部　住宅システム営業課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C16"/>
  <sheetViews>
    <sheetView showGridLines="0" view="pageBreakPreview" zoomScaleSheetLayoutView="100" workbookViewId="0">
      <selection activeCell="J15" sqref="J15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171</v>
      </c>
      <c r="R2" s="45"/>
      <c r="S2" s="45"/>
      <c r="T2" s="45"/>
      <c r="U2" s="45"/>
      <c r="V2" s="45"/>
      <c r="W2" s="45"/>
      <c r="X2" s="45"/>
      <c r="Y2" s="48"/>
      <c r="Z2" s="43" t="s">
        <v>172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115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102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 t="s">
        <v>105</v>
      </c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91"/>
      <c r="C9" s="92"/>
      <c r="D9" s="93"/>
      <c r="E9" s="93"/>
      <c r="F9" s="93"/>
      <c r="G9" s="93"/>
      <c r="H9" s="93"/>
      <c r="I9" s="93"/>
      <c r="J9" s="91" t="s">
        <v>163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19" t="s">
        <v>85</v>
      </c>
      <c r="V9" s="120"/>
      <c r="W9" s="121"/>
      <c r="X9" s="99" t="s">
        <v>32</v>
      </c>
      <c r="Y9" s="100"/>
      <c r="Z9" s="101"/>
      <c r="AA9" s="102"/>
      <c r="AB9" s="103" t="s">
        <v>67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/>
      <c r="B10" s="91"/>
      <c r="C10" s="92"/>
      <c r="D10" s="93"/>
      <c r="E10" s="93"/>
      <c r="F10" s="93"/>
      <c r="G10" s="93"/>
      <c r="H10" s="93"/>
      <c r="I10" s="93"/>
      <c r="J10" s="91" t="s">
        <v>164</v>
      </c>
      <c r="K10" s="92"/>
      <c r="L10" s="93"/>
      <c r="M10" s="93"/>
      <c r="N10" s="93"/>
      <c r="O10" s="93"/>
      <c r="P10" s="93"/>
      <c r="Q10" s="94"/>
      <c r="R10" s="76"/>
      <c r="S10" s="95"/>
      <c r="T10" s="95"/>
      <c r="U10" s="96"/>
      <c r="V10" s="97"/>
      <c r="W10" s="98"/>
      <c r="X10" s="99" t="s">
        <v>32</v>
      </c>
      <c r="Y10" s="100"/>
      <c r="Z10" s="101"/>
      <c r="AA10" s="102"/>
      <c r="AB10" s="103" t="s">
        <v>165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71"/>
      <c r="B11" s="91"/>
      <c r="C11" s="92"/>
      <c r="D11" s="93"/>
      <c r="E11" s="93"/>
      <c r="F11" s="93"/>
      <c r="G11" s="93"/>
      <c r="H11" s="93"/>
      <c r="I11" s="93"/>
      <c r="J11" s="91" t="s">
        <v>166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96"/>
      <c r="V11" s="97"/>
      <c r="W11" s="98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/>
      <c r="B12" s="91"/>
      <c r="C12" s="92"/>
      <c r="D12" s="93"/>
      <c r="E12" s="93"/>
      <c r="F12" s="93"/>
      <c r="G12" s="93"/>
      <c r="H12" s="93"/>
      <c r="I12" s="93"/>
      <c r="J12" s="91" t="s">
        <v>167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19" t="s">
        <v>85</v>
      </c>
      <c r="V12" s="120"/>
      <c r="W12" s="121"/>
      <c r="X12" s="99" t="s">
        <v>48</v>
      </c>
      <c r="Y12" s="100"/>
      <c r="Z12" s="101"/>
      <c r="AA12" s="102"/>
      <c r="AB12" s="103"/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71"/>
      <c r="B13" s="91"/>
      <c r="C13" s="92"/>
      <c r="D13" s="93"/>
      <c r="E13" s="93"/>
      <c r="F13" s="93"/>
      <c r="G13" s="93"/>
      <c r="H13" s="93"/>
      <c r="I13" s="93"/>
      <c r="J13" s="91" t="s">
        <v>168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19" t="s">
        <v>85</v>
      </c>
      <c r="V13" s="120"/>
      <c r="W13" s="121"/>
      <c r="X13" s="99" t="s">
        <v>48</v>
      </c>
      <c r="Y13" s="100"/>
      <c r="Z13" s="101"/>
      <c r="AA13" s="102"/>
      <c r="AB13" s="103"/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/>
      <c r="B14" s="91"/>
      <c r="C14" s="92"/>
      <c r="D14" s="93"/>
      <c r="E14" s="93"/>
      <c r="F14" s="93"/>
      <c r="G14" s="93"/>
      <c r="H14" s="93"/>
      <c r="I14" s="93"/>
      <c r="J14" s="91" t="s">
        <v>169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119" t="s">
        <v>85</v>
      </c>
      <c r="V14" s="120"/>
      <c r="W14" s="121"/>
      <c r="X14" s="99" t="s">
        <v>58</v>
      </c>
      <c r="Y14" s="100"/>
      <c r="Z14" s="101"/>
      <c r="AA14" s="102"/>
      <c r="AB14" s="103" t="s">
        <v>94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71"/>
      <c r="B15" s="91"/>
      <c r="C15" s="92"/>
      <c r="D15" s="93"/>
      <c r="E15" s="93"/>
      <c r="F15" s="93"/>
      <c r="G15" s="93"/>
      <c r="H15" s="93"/>
      <c r="I15" s="93"/>
      <c r="J15" s="91" t="s">
        <v>170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119" t="s">
        <v>85</v>
      </c>
      <c r="V15" s="120"/>
      <c r="W15" s="121"/>
      <c r="X15" s="99" t="s">
        <v>58</v>
      </c>
      <c r="Y15" s="100"/>
      <c r="Z15" s="101"/>
      <c r="AA15" s="102"/>
      <c r="AB15" s="103" t="s">
        <v>94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90"/>
      <c r="B16" s="91"/>
      <c r="C16" s="92"/>
      <c r="D16" s="93"/>
      <c r="E16" s="93"/>
      <c r="F16" s="93"/>
      <c r="G16" s="93"/>
      <c r="H16" s="93"/>
      <c r="I16" s="93"/>
      <c r="J16" s="91"/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96"/>
      <c r="V16" s="97"/>
      <c r="W16" s="98"/>
      <c r="X16" s="99"/>
      <c r="Y16" s="100"/>
      <c r="Z16" s="101"/>
      <c r="AA16" s="102"/>
      <c r="AB16" s="103"/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</sheetData>
  <mergeCells count="10">
    <mergeCell ref="A1:H3"/>
    <mergeCell ref="AI2:AL3"/>
    <mergeCell ref="AM2:AP3"/>
    <mergeCell ref="U7:W7"/>
    <mergeCell ref="U8:W8"/>
    <mergeCell ref="U9:W9"/>
    <mergeCell ref="U12:W12"/>
    <mergeCell ref="U13:W13"/>
    <mergeCell ref="U14:W14"/>
    <mergeCell ref="U15:W15"/>
  </mergeCells>
  <hyperlinks>
    <hyperlink ref="A1:H3" location="テーブル一覧!A1" display="ＤＢ定義図" xr:uid="{00000000-0004-0000-02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C11"/>
  <sheetViews>
    <sheetView showGridLines="0" view="pageBreakPreview" topLeftCell="J1" zoomScaleSheetLayoutView="100" workbookViewId="0">
      <selection activeCell="AC7" sqref="AC7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174</v>
      </c>
      <c r="R2" s="45"/>
      <c r="S2" s="45"/>
      <c r="T2" s="45"/>
      <c r="U2" s="45"/>
      <c r="V2" s="45"/>
      <c r="W2" s="45"/>
      <c r="X2" s="45"/>
      <c r="Y2" s="48"/>
      <c r="Z2" s="47" t="s">
        <v>174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48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 xr:uid="{00000000-0004-0000-03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C11"/>
  <sheetViews>
    <sheetView showGridLines="0" view="pageBreakPreview" topLeftCell="I3" zoomScaleSheetLayoutView="100" workbookViewId="0">
      <selection activeCell="R6" sqref="R6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179</v>
      </c>
      <c r="R2" s="45"/>
      <c r="S2" s="45"/>
      <c r="T2" s="45"/>
      <c r="U2" s="45"/>
      <c r="V2" s="45"/>
      <c r="W2" s="45"/>
      <c r="X2" s="45"/>
      <c r="Y2" s="48"/>
      <c r="Z2" s="43" t="s">
        <v>179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117</v>
      </c>
      <c r="Y11" s="100"/>
      <c r="Z11" s="101"/>
      <c r="AA11" s="102"/>
      <c r="AB11" s="103" t="s">
        <v>118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dataConsolidate/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 xr:uid="{00000000-0004-0000-04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180</v>
      </c>
      <c r="R2" s="45"/>
      <c r="S2" s="45"/>
      <c r="T2" s="45"/>
      <c r="U2" s="45"/>
      <c r="V2" s="45"/>
      <c r="W2" s="45"/>
      <c r="X2" s="45"/>
      <c r="Y2" s="48"/>
      <c r="Z2" s="43" t="s">
        <v>180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36</v>
      </c>
      <c r="Y11" s="100"/>
      <c r="Z11" s="101"/>
      <c r="AA11" s="102"/>
      <c r="AB11" s="103" t="s">
        <v>44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 xr:uid="{00000000-0004-0000-05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181</v>
      </c>
      <c r="R2" s="45"/>
      <c r="S2" s="45"/>
      <c r="T2" s="45"/>
      <c r="U2" s="45"/>
      <c r="V2" s="45"/>
      <c r="W2" s="45"/>
      <c r="X2" s="45"/>
      <c r="Y2" s="48"/>
      <c r="Z2" s="43" t="s">
        <v>181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 xr:uid="{00000000-0004-0000-06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182</v>
      </c>
      <c r="R2" s="45"/>
      <c r="S2" s="45"/>
      <c r="T2" s="45"/>
      <c r="U2" s="45"/>
      <c r="V2" s="45"/>
      <c r="W2" s="45"/>
      <c r="X2" s="45"/>
      <c r="Y2" s="48"/>
      <c r="Z2" s="43" t="s">
        <v>182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 xr:uid="{00000000-0004-0000-07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C10"/>
  <sheetViews>
    <sheetView showGridLines="0" view="pageBreakPreview" topLeftCell="J1" zoomScaleSheetLayoutView="100" workbookViewId="0">
      <selection activeCell="J1289" sqref="A11:XFD1289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77</v>
      </c>
      <c r="R2" s="45"/>
      <c r="S2" s="45"/>
      <c r="T2" s="45"/>
      <c r="U2" s="45"/>
      <c r="V2" s="45"/>
      <c r="W2" s="45"/>
      <c r="X2" s="45"/>
      <c r="Y2" s="48"/>
      <c r="Z2" s="47" t="s">
        <v>77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71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78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34</v>
      </c>
      <c r="B8" s="91"/>
      <c r="C8" s="92"/>
      <c r="D8" s="93"/>
      <c r="E8" s="93"/>
      <c r="F8" s="93"/>
      <c r="G8" s="93"/>
      <c r="H8" s="93"/>
      <c r="I8" s="93"/>
      <c r="J8" s="91" t="s">
        <v>73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 t="s">
        <v>105</v>
      </c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32</v>
      </c>
      <c r="Y9" s="100"/>
      <c r="Z9" s="101"/>
      <c r="AA9" s="102"/>
      <c r="AB9" s="103" t="s">
        <v>54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75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32</v>
      </c>
      <c r="Y10" s="100"/>
      <c r="Z10" s="101"/>
      <c r="AA10" s="102"/>
      <c r="AB10" s="103" t="s">
        <v>69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</sheetData>
  <mergeCells count="7">
    <mergeCell ref="A1:H3"/>
    <mergeCell ref="AI2:AL3"/>
    <mergeCell ref="AM2:AP3"/>
    <mergeCell ref="U9:W9"/>
    <mergeCell ref="U10:W10"/>
    <mergeCell ref="U7:W7"/>
    <mergeCell ref="U8:W8"/>
  </mergeCells>
  <hyperlinks>
    <hyperlink ref="A1:H3" location="テーブル一覧!A1" display="ＤＢ定義図" xr:uid="{00000000-0004-0000-08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C19"/>
  <sheetViews>
    <sheetView showGridLines="0" view="pageBreakPreview" topLeftCell="C1" zoomScaleSheetLayoutView="100" workbookViewId="0">
      <selection sqref="A1:H3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78</v>
      </c>
      <c r="R2" s="45"/>
      <c r="S2" s="45"/>
      <c r="T2" s="45"/>
      <c r="U2" s="45"/>
      <c r="V2" s="45"/>
      <c r="W2" s="45"/>
      <c r="X2" s="45"/>
      <c r="Y2" s="48"/>
      <c r="Z2" s="43" t="s">
        <v>78</v>
      </c>
      <c r="AA2" s="49"/>
      <c r="AB2" s="49"/>
      <c r="AC2" s="49"/>
      <c r="AD2" s="49"/>
      <c r="AE2" s="50"/>
      <c r="AF2" s="50"/>
      <c r="AG2" s="50"/>
      <c r="AH2" s="50"/>
      <c r="AI2" s="128" t="s">
        <v>100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72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80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32</v>
      </c>
      <c r="Y7" s="100"/>
      <c r="Z7" s="101"/>
      <c r="AA7" s="102"/>
      <c r="AB7" s="103" t="s">
        <v>69</v>
      </c>
      <c r="AC7" s="104"/>
      <c r="AD7" s="105"/>
      <c r="AE7" s="106"/>
      <c r="AF7" s="107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81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83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84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32</v>
      </c>
      <c r="Y10" s="100"/>
      <c r="Z10" s="101"/>
      <c r="AA10" s="102"/>
      <c r="AB10" s="103" t="s">
        <v>82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86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87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19" t="s">
        <v>85</v>
      </c>
      <c r="V12" s="120"/>
      <c r="W12" s="121"/>
      <c r="X12" s="99" t="s">
        <v>32</v>
      </c>
      <c r="Y12" s="100"/>
      <c r="Z12" s="101"/>
      <c r="AA12" s="102"/>
      <c r="AB12" s="103" t="s">
        <v>82</v>
      </c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88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19" t="s">
        <v>85</v>
      </c>
      <c r="V13" s="120"/>
      <c r="W13" s="121"/>
      <c r="X13" s="99" t="s">
        <v>58</v>
      </c>
      <c r="Y13" s="100"/>
      <c r="Z13" s="101"/>
      <c r="AA13" s="102"/>
      <c r="AB13" s="103" t="s">
        <v>35</v>
      </c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89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96"/>
      <c r="V14" s="97"/>
      <c r="W14" s="98"/>
      <c r="X14" s="99" t="s">
        <v>32</v>
      </c>
      <c r="Y14" s="100"/>
      <c r="Z14" s="101"/>
      <c r="AA14" s="102"/>
      <c r="AB14" s="103" t="s">
        <v>90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90" t="s">
        <v>43</v>
      </c>
      <c r="B15" s="91"/>
      <c r="C15" s="92"/>
      <c r="D15" s="93"/>
      <c r="E15" s="93"/>
      <c r="F15" s="93"/>
      <c r="G15" s="93"/>
      <c r="H15" s="93"/>
      <c r="I15" s="93"/>
      <c r="J15" s="91" t="s">
        <v>91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119" t="s">
        <v>85</v>
      </c>
      <c r="V15" s="120"/>
      <c r="W15" s="121"/>
      <c r="X15" s="99" t="s">
        <v>38</v>
      </c>
      <c r="Y15" s="100"/>
      <c r="Z15" s="101"/>
      <c r="AA15" s="102"/>
      <c r="AB15" s="103" t="s">
        <v>37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71" t="s">
        <v>44</v>
      </c>
      <c r="B16" s="91"/>
      <c r="C16" s="92"/>
      <c r="D16" s="93"/>
      <c r="E16" s="93"/>
      <c r="F16" s="93"/>
      <c r="G16" s="93"/>
      <c r="H16" s="93"/>
      <c r="I16" s="93"/>
      <c r="J16" s="91" t="s">
        <v>92</v>
      </c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119" t="s">
        <v>85</v>
      </c>
      <c r="V16" s="120"/>
      <c r="W16" s="121"/>
      <c r="X16" s="99" t="s">
        <v>32</v>
      </c>
      <c r="Y16" s="100"/>
      <c r="Z16" s="101"/>
      <c r="AA16" s="102"/>
      <c r="AB16" s="103" t="s">
        <v>82</v>
      </c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  <row r="17" spans="1:54" s="89" customFormat="1" ht="15.95" customHeight="1">
      <c r="A17" s="90" t="s">
        <v>45</v>
      </c>
      <c r="B17" s="91"/>
      <c r="C17" s="92"/>
      <c r="D17" s="93"/>
      <c r="E17" s="93"/>
      <c r="F17" s="93"/>
      <c r="G17" s="93"/>
      <c r="H17" s="93"/>
      <c r="I17" s="93"/>
      <c r="J17" s="91" t="s">
        <v>93</v>
      </c>
      <c r="K17" s="92"/>
      <c r="L17" s="93"/>
      <c r="M17" s="93"/>
      <c r="N17" s="93"/>
      <c r="O17" s="93"/>
      <c r="P17" s="93"/>
      <c r="Q17" s="94"/>
      <c r="R17" s="76"/>
      <c r="S17" s="95"/>
      <c r="T17" s="95"/>
      <c r="U17" s="119" t="s">
        <v>85</v>
      </c>
      <c r="V17" s="120"/>
      <c r="W17" s="121"/>
      <c r="X17" s="99" t="s">
        <v>58</v>
      </c>
      <c r="Y17" s="100"/>
      <c r="Z17" s="101"/>
      <c r="AA17" s="102"/>
      <c r="AB17" s="103" t="s">
        <v>94</v>
      </c>
      <c r="AC17" s="104"/>
      <c r="AD17" s="105"/>
      <c r="AE17" s="106"/>
      <c r="AF17" s="107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107"/>
      <c r="AX17" s="93"/>
      <c r="AY17" s="93"/>
      <c r="AZ17" s="93"/>
      <c r="BA17" s="107"/>
      <c r="BB17" s="94"/>
    </row>
    <row r="18" spans="1:54" s="89" customFormat="1" ht="15.95" customHeight="1">
      <c r="A18" s="71" t="s">
        <v>46</v>
      </c>
      <c r="B18" s="108"/>
      <c r="C18" s="92"/>
      <c r="D18" s="93"/>
      <c r="E18" s="93"/>
      <c r="F18" s="93"/>
      <c r="G18" s="93"/>
      <c r="H18" s="93"/>
      <c r="I18" s="93"/>
      <c r="J18" s="91" t="s">
        <v>95</v>
      </c>
      <c r="K18" s="92"/>
      <c r="L18" s="93"/>
      <c r="M18" s="93"/>
      <c r="N18" s="93"/>
      <c r="O18" s="93"/>
      <c r="P18" s="93"/>
      <c r="Q18" s="98"/>
      <c r="R18" s="76"/>
      <c r="S18" s="95"/>
      <c r="T18" s="95"/>
      <c r="U18" s="119" t="s">
        <v>85</v>
      </c>
      <c r="V18" s="120"/>
      <c r="W18" s="121"/>
      <c r="X18" s="99" t="s">
        <v>58</v>
      </c>
      <c r="Y18" s="100"/>
      <c r="Z18" s="101"/>
      <c r="AA18" s="102"/>
      <c r="AB18" s="103" t="s">
        <v>41</v>
      </c>
      <c r="AC18" s="104"/>
      <c r="AD18" s="105"/>
      <c r="AE18" s="106"/>
      <c r="AF18" s="109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  <c r="AV18" s="93"/>
      <c r="AW18" s="107"/>
      <c r="AX18" s="93"/>
      <c r="AY18" s="93"/>
      <c r="AZ18" s="93"/>
      <c r="BA18" s="107"/>
      <c r="BB18" s="94"/>
    </row>
    <row r="19" spans="1:54" s="89" customFormat="1" ht="15.95" customHeight="1">
      <c r="A19" s="90" t="s">
        <v>47</v>
      </c>
      <c r="B19" s="91"/>
      <c r="C19" s="92"/>
      <c r="D19" s="93"/>
      <c r="E19" s="93"/>
      <c r="F19" s="93"/>
      <c r="G19" s="93"/>
      <c r="H19" s="93"/>
      <c r="I19" s="93"/>
      <c r="J19" s="91" t="s">
        <v>96</v>
      </c>
      <c r="K19" s="92"/>
      <c r="L19" s="93"/>
      <c r="M19" s="93"/>
      <c r="N19" s="93"/>
      <c r="O19" s="93"/>
      <c r="P19" s="93"/>
      <c r="Q19" s="98"/>
      <c r="R19" s="76"/>
      <c r="S19" s="95"/>
      <c r="T19" s="95"/>
      <c r="U19" s="119" t="s">
        <v>85</v>
      </c>
      <c r="V19" s="120"/>
      <c r="W19" s="121"/>
      <c r="X19" s="99" t="s">
        <v>97</v>
      </c>
      <c r="Y19" s="100"/>
      <c r="Z19" s="101"/>
      <c r="AA19" s="102"/>
      <c r="AB19" s="103" t="s">
        <v>94</v>
      </c>
      <c r="AC19" s="104"/>
      <c r="AD19" s="105"/>
      <c r="AE19" s="106"/>
      <c r="AF19" s="109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107"/>
      <c r="AX19" s="93"/>
      <c r="AY19" s="93"/>
      <c r="AZ19" s="93"/>
      <c r="BA19" s="107"/>
      <c r="BB19" s="94"/>
    </row>
  </sheetData>
  <mergeCells count="15">
    <mergeCell ref="A1:H3"/>
    <mergeCell ref="AI2:AL3"/>
    <mergeCell ref="AM2:AP3"/>
    <mergeCell ref="U18:W18"/>
    <mergeCell ref="U19:W19"/>
    <mergeCell ref="U9:W9"/>
    <mergeCell ref="U10:W10"/>
    <mergeCell ref="U8:W8"/>
    <mergeCell ref="U7:W7"/>
    <mergeCell ref="U11:W11"/>
    <mergeCell ref="U12:W12"/>
    <mergeCell ref="U13:W13"/>
    <mergeCell ref="U15:W15"/>
    <mergeCell ref="U16:W16"/>
    <mergeCell ref="U17:W17"/>
  </mergeCells>
  <hyperlinks>
    <hyperlink ref="A1:H3" location="テーブル一覧!A1" display="ＤＢ定義図" xr:uid="{00000000-0004-0000-09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BC14"/>
  <sheetViews>
    <sheetView showGridLines="0" view="pageBreakPreview" topLeftCell="J3" zoomScaleSheetLayoutView="100" workbookViewId="0">
      <selection activeCell="J1293" sqref="A15:XFD1293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99</v>
      </c>
      <c r="R2" s="45"/>
      <c r="S2" s="45"/>
      <c r="T2" s="45"/>
      <c r="U2" s="45"/>
      <c r="V2" s="45"/>
      <c r="W2" s="45"/>
      <c r="X2" s="45"/>
      <c r="Y2" s="48"/>
      <c r="Z2" s="43" t="s">
        <v>99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115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102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103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32</v>
      </c>
      <c r="Y9" s="100"/>
      <c r="Z9" s="101"/>
      <c r="AA9" s="102"/>
      <c r="AB9" s="103" t="s">
        <v>69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104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44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73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38</v>
      </c>
      <c r="Y11" s="100"/>
      <c r="Z11" s="101"/>
      <c r="AA11" s="102"/>
      <c r="AB11" s="103" t="s">
        <v>37</v>
      </c>
      <c r="AC11" s="104"/>
      <c r="AD11" s="105"/>
      <c r="AE11" s="106"/>
      <c r="AF11" s="107" t="s">
        <v>105</v>
      </c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106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19" t="s">
        <v>85</v>
      </c>
      <c r="V12" s="120"/>
      <c r="W12" s="121"/>
      <c r="X12" s="99" t="s">
        <v>48</v>
      </c>
      <c r="Y12" s="100"/>
      <c r="Z12" s="101"/>
      <c r="AA12" s="102"/>
      <c r="AB12" s="103"/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107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19" t="s">
        <v>85</v>
      </c>
      <c r="V13" s="120"/>
      <c r="W13" s="121"/>
      <c r="X13" s="99" t="s">
        <v>48</v>
      </c>
      <c r="Y13" s="100"/>
      <c r="Z13" s="101"/>
      <c r="AA13" s="102"/>
      <c r="AB13" s="103"/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108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119" t="s">
        <v>85</v>
      </c>
      <c r="V14" s="120"/>
      <c r="W14" s="121"/>
      <c r="X14" s="99" t="s">
        <v>58</v>
      </c>
      <c r="Y14" s="100"/>
      <c r="Z14" s="101"/>
      <c r="AA14" s="102"/>
      <c r="AB14" s="103" t="s">
        <v>94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</sheetData>
  <mergeCells count="11">
    <mergeCell ref="U9:W9"/>
    <mergeCell ref="A1:H3"/>
    <mergeCell ref="AI2:AL3"/>
    <mergeCell ref="AM2:AP3"/>
    <mergeCell ref="U7:W7"/>
    <mergeCell ref="U8:W8"/>
    <mergeCell ref="U14:W14"/>
    <mergeCell ref="U10:W10"/>
    <mergeCell ref="U11:W11"/>
    <mergeCell ref="U12:W12"/>
    <mergeCell ref="U13:W13"/>
  </mergeCells>
  <hyperlinks>
    <hyperlink ref="A1:H3" location="テーブル一覧!A1" display="ＤＢ定義図" xr:uid="{00000000-0004-0000-0A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109</v>
      </c>
      <c r="R2" s="45"/>
      <c r="S2" s="45"/>
      <c r="T2" s="45"/>
      <c r="U2" s="45"/>
      <c r="V2" s="45"/>
      <c r="W2" s="45"/>
      <c r="X2" s="45"/>
      <c r="Y2" s="48"/>
      <c r="Z2" s="43" t="s">
        <v>109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48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 xr:uid="{00000000-0004-0000-0B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BC11"/>
  <sheetViews>
    <sheetView showGridLines="0" view="pageBreakPreview" topLeftCell="K1" zoomScaleSheetLayoutView="100" workbookViewId="0">
      <selection activeCell="K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110</v>
      </c>
      <c r="R2" s="45"/>
      <c r="S2" s="45"/>
      <c r="T2" s="45"/>
      <c r="U2" s="45"/>
      <c r="V2" s="45"/>
      <c r="W2" s="45"/>
      <c r="X2" s="45"/>
      <c r="Y2" s="48"/>
      <c r="Z2" s="43" t="s">
        <v>110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117</v>
      </c>
      <c r="Y11" s="100"/>
      <c r="Z11" s="101"/>
      <c r="AA11" s="102"/>
      <c r="AB11" s="103" t="s">
        <v>118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 xr:uid="{00000000-0004-0000-0C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111</v>
      </c>
      <c r="R2" s="45"/>
      <c r="S2" s="45"/>
      <c r="T2" s="45"/>
      <c r="U2" s="45"/>
      <c r="V2" s="45"/>
      <c r="W2" s="45"/>
      <c r="X2" s="45"/>
      <c r="Y2" s="48"/>
      <c r="Z2" s="43" t="s">
        <v>111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36</v>
      </c>
      <c r="Y11" s="100"/>
      <c r="Z11" s="101"/>
      <c r="AA11" s="102"/>
      <c r="AB11" s="103" t="s">
        <v>44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 xr:uid="{00000000-0004-0000-0D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BC11"/>
  <sheetViews>
    <sheetView showGridLines="0" view="pageBreakPreview" topLeftCell="O1" zoomScaleSheetLayoutView="100" workbookViewId="0">
      <selection activeCell="O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112</v>
      </c>
      <c r="R2" s="45"/>
      <c r="S2" s="45"/>
      <c r="T2" s="45"/>
      <c r="U2" s="45"/>
      <c r="V2" s="45"/>
      <c r="W2" s="45"/>
      <c r="X2" s="45"/>
      <c r="Y2" s="48"/>
      <c r="Z2" s="43" t="s">
        <v>112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 xr:uid="{00000000-0004-0000-0E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120</v>
      </c>
      <c r="R2" s="45"/>
      <c r="S2" s="45"/>
      <c r="T2" s="45"/>
      <c r="U2" s="45"/>
      <c r="V2" s="45"/>
      <c r="W2" s="45"/>
      <c r="X2" s="45"/>
      <c r="Y2" s="48"/>
      <c r="Z2" s="43" t="s">
        <v>120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 xr:uid="{00000000-0004-0000-0F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C9"/>
  <sheetViews>
    <sheetView showGridLines="0" view="pageBreakPreview" topLeftCell="J1" zoomScaleSheetLayoutView="100" workbookViewId="0">
      <selection activeCell="AD12" sqref="AD12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121</v>
      </c>
      <c r="R2" s="45"/>
      <c r="S2" s="45"/>
      <c r="T2" s="45"/>
      <c r="U2" s="45"/>
      <c r="V2" s="45"/>
      <c r="W2" s="45"/>
      <c r="X2" s="45"/>
      <c r="Y2" s="48"/>
      <c r="Z2" s="43" t="s">
        <v>121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102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124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39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</sheetData>
  <mergeCells count="6">
    <mergeCell ref="U9:W9"/>
    <mergeCell ref="A1:H3"/>
    <mergeCell ref="AI2:AL3"/>
    <mergeCell ref="AM2:AP3"/>
    <mergeCell ref="U7:W7"/>
    <mergeCell ref="U8:W8"/>
  </mergeCells>
  <hyperlinks>
    <hyperlink ref="A1:H3" location="テーブル一覧!A1" display="ＤＢ定義図" xr:uid="{00000000-0004-0000-10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BC10"/>
  <sheetViews>
    <sheetView showGridLines="0" view="pageBreakPreview" topLeftCell="J1" zoomScaleSheetLayoutView="100" workbookViewId="0">
      <selection activeCell="BI26" sqref="BI26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22"/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122</v>
      </c>
      <c r="R2" s="45"/>
      <c r="S2" s="45"/>
      <c r="T2" s="45"/>
      <c r="U2" s="45"/>
      <c r="V2" s="45"/>
      <c r="W2" s="45"/>
      <c r="X2" s="45"/>
      <c r="Y2" s="48"/>
      <c r="Z2" s="43" t="s">
        <v>122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126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102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127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124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39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90" t="s">
        <v>35</v>
      </c>
      <c r="B10" s="108"/>
      <c r="C10" s="92"/>
      <c r="D10" s="93"/>
      <c r="E10" s="93"/>
      <c r="F10" s="93"/>
      <c r="G10" s="93"/>
      <c r="H10" s="93"/>
      <c r="I10" s="93"/>
      <c r="J10" s="91" t="s">
        <v>128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19"/>
      <c r="V10" s="120"/>
      <c r="W10" s="121"/>
      <c r="X10" s="99" t="s">
        <v>38</v>
      </c>
      <c r="Y10" s="100"/>
      <c r="Z10" s="101"/>
      <c r="AA10" s="102"/>
      <c r="AB10" s="103" t="s">
        <v>37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</sheetData>
  <mergeCells count="7">
    <mergeCell ref="U10:W10"/>
    <mergeCell ref="U9:W9"/>
    <mergeCell ref="A1:H3"/>
    <mergeCell ref="AI2:AL3"/>
    <mergeCell ref="AM2:AP3"/>
    <mergeCell ref="U7:W7"/>
    <mergeCell ref="U8:W8"/>
  </mergeCell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BC11"/>
  <sheetViews>
    <sheetView showGridLines="0" view="pageBreakPreview" zoomScaleSheetLayoutView="100" workbookViewId="0">
      <selection sqref="A1:H3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22"/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184</v>
      </c>
      <c r="R2" s="45"/>
      <c r="S2" s="45"/>
      <c r="T2" s="45"/>
      <c r="U2" s="45"/>
      <c r="V2" s="45"/>
      <c r="W2" s="45"/>
      <c r="X2" s="45"/>
      <c r="Y2" s="48"/>
      <c r="Z2" s="43" t="s">
        <v>184</v>
      </c>
      <c r="AA2" s="49"/>
      <c r="AB2" s="49"/>
      <c r="AC2" s="49"/>
      <c r="AD2" s="49"/>
      <c r="AE2" s="50"/>
      <c r="AF2" s="50"/>
      <c r="AG2" s="50"/>
      <c r="AH2" s="50"/>
      <c r="AI2" s="128" t="s">
        <v>186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185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102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 t="s">
        <v>105</v>
      </c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126</v>
      </c>
      <c r="K9" s="92"/>
      <c r="L9" s="93"/>
      <c r="M9" s="93"/>
      <c r="N9" s="93"/>
      <c r="O9" s="93"/>
      <c r="P9" s="93"/>
      <c r="Q9" s="113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90" t="s">
        <v>35</v>
      </c>
      <c r="B10" s="108"/>
      <c r="C10" s="92"/>
      <c r="D10" s="93"/>
      <c r="E10" s="93"/>
      <c r="F10" s="93"/>
      <c r="G10" s="93"/>
      <c r="H10" s="93"/>
      <c r="I10" s="93"/>
      <c r="J10" s="91" t="s">
        <v>114</v>
      </c>
      <c r="K10" s="92"/>
      <c r="L10" s="93"/>
      <c r="M10" s="93"/>
      <c r="N10" s="93"/>
      <c r="O10" s="93"/>
      <c r="P10" s="93"/>
      <c r="Q10" s="113"/>
      <c r="R10" s="76"/>
      <c r="S10" s="95"/>
      <c r="T10" s="95"/>
      <c r="U10" s="119" t="s">
        <v>85</v>
      </c>
      <c r="V10" s="120"/>
      <c r="W10" s="121"/>
      <c r="X10" s="99" t="s">
        <v>38</v>
      </c>
      <c r="Y10" s="100"/>
      <c r="Z10" s="101"/>
      <c r="AA10" s="102"/>
      <c r="AB10" s="103" t="s">
        <v>37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35</v>
      </c>
      <c r="B11" s="108"/>
      <c r="C11" s="92"/>
      <c r="D11" s="93"/>
      <c r="E11" s="93"/>
      <c r="F11" s="93"/>
      <c r="G11" s="93"/>
      <c r="H11" s="93"/>
      <c r="I11" s="93"/>
      <c r="J11" s="91" t="s">
        <v>124</v>
      </c>
      <c r="K11" s="92"/>
      <c r="L11" s="93"/>
      <c r="M11" s="93"/>
      <c r="N11" s="93"/>
      <c r="O11" s="93"/>
      <c r="P11" s="93"/>
      <c r="Q11" s="113"/>
      <c r="R11" s="76"/>
      <c r="S11" s="95"/>
      <c r="T11" s="95"/>
      <c r="U11" s="119" t="s">
        <v>85</v>
      </c>
      <c r="V11" s="120"/>
      <c r="W11" s="121"/>
      <c r="X11" s="99" t="s">
        <v>38</v>
      </c>
      <c r="Y11" s="100"/>
      <c r="Z11" s="101"/>
      <c r="AA11" s="102"/>
      <c r="AB11" s="103" t="s">
        <v>39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1:W11"/>
    <mergeCell ref="U10:W10"/>
    <mergeCell ref="A1:H3"/>
    <mergeCell ref="AI2:AL3"/>
    <mergeCell ref="AM2:AP3"/>
    <mergeCell ref="U7:W7"/>
    <mergeCell ref="U8:W8"/>
    <mergeCell ref="U9:W9"/>
  </mergeCell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C38"/>
  <sheetViews>
    <sheetView showGridLines="0" view="pageBreakPreview" topLeftCell="J13" zoomScaleSheetLayoutView="100" workbookViewId="0">
      <selection activeCell="X11" sqref="X11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125</v>
      </c>
      <c r="R2" s="45"/>
      <c r="S2" s="45"/>
      <c r="T2" s="45"/>
      <c r="U2" s="45"/>
      <c r="V2" s="45"/>
      <c r="W2" s="45"/>
      <c r="X2" s="45"/>
      <c r="Y2" s="48"/>
      <c r="Z2" s="43" t="s">
        <v>125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114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129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83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19"/>
      <c r="V9" s="120"/>
      <c r="W9" s="121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108"/>
      <c r="C10" s="92"/>
      <c r="D10" s="93"/>
      <c r="E10" s="93"/>
      <c r="F10" s="93"/>
      <c r="G10" s="93"/>
      <c r="H10" s="93"/>
      <c r="I10" s="93"/>
      <c r="J10" s="91" t="s">
        <v>160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96"/>
      <c r="V10" s="97"/>
      <c r="W10" s="98"/>
      <c r="X10" s="99" t="s">
        <v>32</v>
      </c>
      <c r="Y10" s="100"/>
      <c r="Z10" s="101"/>
      <c r="AA10" s="102"/>
      <c r="AB10" s="103" t="s">
        <v>82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130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 t="s">
        <v>85</v>
      </c>
      <c r="V11" s="120"/>
      <c r="W11" s="121"/>
      <c r="X11" s="99" t="s">
        <v>183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131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96"/>
      <c r="V12" s="97"/>
      <c r="W12" s="98"/>
      <c r="X12" s="99" t="s">
        <v>32</v>
      </c>
      <c r="Y12" s="100"/>
      <c r="Z12" s="101"/>
      <c r="AA12" s="102"/>
      <c r="AB12" s="103" t="s">
        <v>82</v>
      </c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132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96"/>
      <c r="V13" s="97"/>
      <c r="W13" s="98"/>
      <c r="X13" s="99" t="s">
        <v>32</v>
      </c>
      <c r="Y13" s="100"/>
      <c r="Z13" s="101"/>
      <c r="AA13" s="102"/>
      <c r="AB13" s="103" t="s">
        <v>82</v>
      </c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133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96"/>
      <c r="V14" s="97"/>
      <c r="W14" s="98"/>
      <c r="X14" s="99" t="s">
        <v>32</v>
      </c>
      <c r="Y14" s="100"/>
      <c r="Z14" s="101"/>
      <c r="AA14" s="102"/>
      <c r="AB14" s="103" t="s">
        <v>69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90" t="s">
        <v>43</v>
      </c>
      <c r="B15" s="91"/>
      <c r="C15" s="92"/>
      <c r="D15" s="93"/>
      <c r="E15" s="93"/>
      <c r="F15" s="93"/>
      <c r="G15" s="93"/>
      <c r="H15" s="93"/>
      <c r="I15" s="93"/>
      <c r="J15" s="91" t="s">
        <v>134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96"/>
      <c r="V15" s="97"/>
      <c r="W15" s="98"/>
      <c r="X15" s="99" t="s">
        <v>32</v>
      </c>
      <c r="Y15" s="100"/>
      <c r="Z15" s="101"/>
      <c r="AA15" s="102"/>
      <c r="AB15" s="103" t="s">
        <v>82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71" t="s">
        <v>44</v>
      </c>
      <c r="B16" s="91"/>
      <c r="C16" s="92"/>
      <c r="D16" s="93"/>
      <c r="E16" s="93"/>
      <c r="F16" s="93"/>
      <c r="G16" s="93"/>
      <c r="H16" s="93"/>
      <c r="I16" s="93"/>
      <c r="J16" s="91" t="s">
        <v>161</v>
      </c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96"/>
      <c r="V16" s="97"/>
      <c r="W16" s="98"/>
      <c r="X16" s="99" t="s">
        <v>32</v>
      </c>
      <c r="Y16" s="100"/>
      <c r="Z16" s="101"/>
      <c r="AA16" s="102"/>
      <c r="AB16" s="103" t="s">
        <v>82</v>
      </c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  <row r="17" spans="1:54" s="89" customFormat="1" ht="15.95" customHeight="1">
      <c r="A17" s="90" t="s">
        <v>45</v>
      </c>
      <c r="B17" s="91"/>
      <c r="C17" s="92"/>
      <c r="D17" s="93"/>
      <c r="E17" s="93"/>
      <c r="F17" s="93"/>
      <c r="G17" s="93"/>
      <c r="H17" s="93"/>
      <c r="I17" s="93"/>
      <c r="J17" s="91" t="s">
        <v>135</v>
      </c>
      <c r="K17" s="92"/>
      <c r="L17" s="93"/>
      <c r="M17" s="93"/>
      <c r="N17" s="93"/>
      <c r="O17" s="93"/>
      <c r="P17" s="93"/>
      <c r="Q17" s="94"/>
      <c r="R17" s="76"/>
      <c r="S17" s="95"/>
      <c r="T17" s="95"/>
      <c r="U17" s="96"/>
      <c r="V17" s="97"/>
      <c r="W17" s="98"/>
      <c r="X17" s="99" t="s">
        <v>32</v>
      </c>
      <c r="Y17" s="100"/>
      <c r="Z17" s="101"/>
      <c r="AA17" s="102"/>
      <c r="AB17" s="103" t="s">
        <v>82</v>
      </c>
      <c r="AC17" s="104"/>
      <c r="AD17" s="105"/>
      <c r="AE17" s="106"/>
      <c r="AF17" s="107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107"/>
      <c r="AX17" s="93"/>
      <c r="AY17" s="93"/>
      <c r="AZ17" s="93"/>
      <c r="BA17" s="107"/>
      <c r="BB17" s="94"/>
    </row>
    <row r="18" spans="1:54" s="89" customFormat="1" ht="15.95" customHeight="1">
      <c r="A18" s="71" t="s">
        <v>46</v>
      </c>
      <c r="B18" s="91"/>
      <c r="C18" s="92"/>
      <c r="D18" s="93"/>
      <c r="E18" s="93"/>
      <c r="F18" s="93"/>
      <c r="G18" s="93"/>
      <c r="H18" s="93"/>
      <c r="I18" s="93"/>
      <c r="J18" s="91" t="s">
        <v>136</v>
      </c>
      <c r="K18" s="92"/>
      <c r="L18" s="93"/>
      <c r="M18" s="93"/>
      <c r="N18" s="93"/>
      <c r="O18" s="93"/>
      <c r="P18" s="93"/>
      <c r="Q18" s="94"/>
      <c r="R18" s="76"/>
      <c r="S18" s="95"/>
      <c r="T18" s="95"/>
      <c r="U18" s="96"/>
      <c r="V18" s="97"/>
      <c r="W18" s="98"/>
      <c r="X18" s="99" t="s">
        <v>32</v>
      </c>
      <c r="Y18" s="100"/>
      <c r="Z18" s="101"/>
      <c r="AA18" s="102"/>
      <c r="AB18" s="103" t="s">
        <v>82</v>
      </c>
      <c r="AC18" s="104"/>
      <c r="AD18" s="105"/>
      <c r="AE18" s="106"/>
      <c r="AF18" s="107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  <c r="AV18" s="93"/>
      <c r="AW18" s="107"/>
      <c r="AX18" s="93"/>
      <c r="AY18" s="93"/>
      <c r="AZ18" s="93"/>
      <c r="BA18" s="107"/>
      <c r="BB18" s="94"/>
    </row>
    <row r="19" spans="1:54" s="89" customFormat="1" ht="15.95" customHeight="1">
      <c r="A19" s="90" t="s">
        <v>47</v>
      </c>
      <c r="B19" s="91"/>
      <c r="C19" s="92"/>
      <c r="D19" s="93"/>
      <c r="E19" s="93"/>
      <c r="F19" s="93"/>
      <c r="G19" s="93"/>
      <c r="H19" s="93"/>
      <c r="I19" s="93"/>
      <c r="J19" s="91" t="s">
        <v>137</v>
      </c>
      <c r="K19" s="92"/>
      <c r="L19" s="93"/>
      <c r="M19" s="93"/>
      <c r="N19" s="93"/>
      <c r="O19" s="93"/>
      <c r="P19" s="93"/>
      <c r="Q19" s="94"/>
      <c r="R19" s="76"/>
      <c r="S19" s="95"/>
      <c r="T19" s="95"/>
      <c r="U19" s="119" t="s">
        <v>85</v>
      </c>
      <c r="V19" s="120"/>
      <c r="W19" s="121"/>
      <c r="X19" s="99" t="s">
        <v>58</v>
      </c>
      <c r="Y19" s="100"/>
      <c r="Z19" s="101"/>
      <c r="AA19" s="102"/>
      <c r="AB19" s="103" t="s">
        <v>94</v>
      </c>
      <c r="AC19" s="104"/>
      <c r="AD19" s="105"/>
      <c r="AE19" s="106"/>
      <c r="AF19" s="107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107"/>
      <c r="AX19" s="93"/>
      <c r="AY19" s="93"/>
      <c r="AZ19" s="93"/>
      <c r="BA19" s="107"/>
      <c r="BB19" s="94"/>
    </row>
    <row r="20" spans="1:54" s="89" customFormat="1" ht="15.95" customHeight="1">
      <c r="A20" s="71" t="s">
        <v>49</v>
      </c>
      <c r="B20" s="91"/>
      <c r="C20" s="92"/>
      <c r="D20" s="93"/>
      <c r="E20" s="93"/>
      <c r="F20" s="93"/>
      <c r="G20" s="93"/>
      <c r="H20" s="93"/>
      <c r="I20" s="93"/>
      <c r="J20" s="91" t="s">
        <v>138</v>
      </c>
      <c r="K20" s="92"/>
      <c r="L20" s="93"/>
      <c r="M20" s="93"/>
      <c r="N20" s="93"/>
      <c r="O20" s="93"/>
      <c r="P20" s="93"/>
      <c r="Q20" s="94"/>
      <c r="R20" s="76"/>
      <c r="S20" s="95"/>
      <c r="T20" s="95"/>
      <c r="U20" s="119" t="s">
        <v>85</v>
      </c>
      <c r="V20" s="120"/>
      <c r="W20" s="121"/>
      <c r="X20" s="99" t="s">
        <v>58</v>
      </c>
      <c r="Y20" s="100"/>
      <c r="Z20" s="101"/>
      <c r="AA20" s="102"/>
      <c r="AB20" s="103" t="s">
        <v>94</v>
      </c>
      <c r="AC20" s="104"/>
      <c r="AD20" s="105"/>
      <c r="AE20" s="106"/>
      <c r="AF20" s="107"/>
      <c r="AG20" s="93"/>
      <c r="AH20" s="93"/>
      <c r="AI20" s="93"/>
      <c r="AJ20" s="93"/>
      <c r="AK20" s="93"/>
      <c r="AL20" s="93"/>
      <c r="AM20" s="93"/>
      <c r="AN20" s="93"/>
      <c r="AO20" s="93"/>
      <c r="AP20" s="93"/>
      <c r="AQ20" s="93"/>
      <c r="AR20" s="93"/>
      <c r="AS20" s="93"/>
      <c r="AT20" s="93"/>
      <c r="AU20" s="93"/>
      <c r="AV20" s="93"/>
      <c r="AW20" s="107"/>
      <c r="AX20" s="93"/>
      <c r="AY20" s="93"/>
      <c r="AZ20" s="93"/>
      <c r="BA20" s="107"/>
      <c r="BB20" s="94"/>
    </row>
    <row r="21" spans="1:54" s="89" customFormat="1" ht="15.95" customHeight="1">
      <c r="A21" s="90" t="s">
        <v>50</v>
      </c>
      <c r="B21" s="91"/>
      <c r="C21" s="92"/>
      <c r="D21" s="93"/>
      <c r="E21" s="93"/>
      <c r="F21" s="93"/>
      <c r="G21" s="93"/>
      <c r="H21" s="93"/>
      <c r="I21" s="93"/>
      <c r="J21" s="91" t="s">
        <v>139</v>
      </c>
      <c r="K21" s="92"/>
      <c r="L21" s="93"/>
      <c r="M21" s="93"/>
      <c r="N21" s="93"/>
      <c r="O21" s="93"/>
      <c r="P21" s="93"/>
      <c r="Q21" s="94"/>
      <c r="R21" s="76"/>
      <c r="S21" s="95"/>
      <c r="T21" s="95"/>
      <c r="U21" s="119" t="s">
        <v>85</v>
      </c>
      <c r="V21" s="120"/>
      <c r="W21" s="121"/>
      <c r="X21" s="99" t="s">
        <v>58</v>
      </c>
      <c r="Y21" s="100"/>
      <c r="Z21" s="101"/>
      <c r="AA21" s="102"/>
      <c r="AB21" s="103" t="s">
        <v>94</v>
      </c>
      <c r="AC21" s="104"/>
      <c r="AD21" s="105"/>
      <c r="AE21" s="106"/>
      <c r="AF21" s="107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107"/>
      <c r="AX21" s="93"/>
      <c r="AY21" s="93"/>
      <c r="AZ21" s="93"/>
      <c r="BA21" s="107"/>
      <c r="BB21" s="94"/>
    </row>
    <row r="22" spans="1:54" s="89" customFormat="1" ht="15.95" customHeight="1">
      <c r="A22" s="71" t="s">
        <v>51</v>
      </c>
      <c r="B22" s="91"/>
      <c r="C22" s="92"/>
      <c r="D22" s="93"/>
      <c r="E22" s="93"/>
      <c r="F22" s="93"/>
      <c r="G22" s="93"/>
      <c r="H22" s="93"/>
      <c r="I22" s="93"/>
      <c r="J22" s="91" t="s">
        <v>140</v>
      </c>
      <c r="K22" s="92"/>
      <c r="L22" s="93"/>
      <c r="M22" s="93"/>
      <c r="N22" s="93"/>
      <c r="O22" s="93"/>
      <c r="P22" s="93"/>
      <c r="Q22" s="94"/>
      <c r="R22" s="76"/>
      <c r="S22" s="95"/>
      <c r="T22" s="95"/>
      <c r="U22" s="119" t="s">
        <v>85</v>
      </c>
      <c r="V22" s="120"/>
      <c r="W22" s="121"/>
      <c r="X22" s="99" t="s">
        <v>58</v>
      </c>
      <c r="Y22" s="100"/>
      <c r="Z22" s="101"/>
      <c r="AA22" s="102"/>
      <c r="AB22" s="103" t="s">
        <v>94</v>
      </c>
      <c r="AC22" s="104"/>
      <c r="AD22" s="105"/>
      <c r="AE22" s="106"/>
      <c r="AF22" s="107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107"/>
      <c r="AX22" s="93"/>
      <c r="AY22" s="93"/>
      <c r="AZ22" s="93"/>
      <c r="BA22" s="107"/>
      <c r="BB22" s="94"/>
    </row>
    <row r="23" spans="1:54" s="89" customFormat="1" ht="15.95" customHeight="1">
      <c r="A23" s="90" t="s">
        <v>52</v>
      </c>
      <c r="B23" s="91"/>
      <c r="C23" s="92"/>
      <c r="D23" s="93"/>
      <c r="E23" s="93"/>
      <c r="F23" s="93"/>
      <c r="G23" s="93"/>
      <c r="H23" s="93"/>
      <c r="I23" s="93"/>
      <c r="J23" s="91" t="s">
        <v>141</v>
      </c>
      <c r="K23" s="92"/>
      <c r="L23" s="93"/>
      <c r="M23" s="93"/>
      <c r="N23" s="93"/>
      <c r="O23" s="93"/>
      <c r="P23" s="93"/>
      <c r="Q23" s="94"/>
      <c r="R23" s="76"/>
      <c r="S23" s="95"/>
      <c r="T23" s="95"/>
      <c r="U23" s="96"/>
      <c r="V23" s="97"/>
      <c r="W23" s="98"/>
      <c r="X23" s="99" t="s">
        <v>119</v>
      </c>
      <c r="Y23" s="100"/>
      <c r="Z23" s="101"/>
      <c r="AA23" s="102"/>
      <c r="AB23" s="103"/>
      <c r="AC23" s="104"/>
      <c r="AD23" s="105"/>
      <c r="AE23" s="106"/>
      <c r="AF23" s="107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107"/>
      <c r="AX23" s="93"/>
      <c r="AY23" s="93"/>
      <c r="AZ23" s="93"/>
      <c r="BA23" s="107"/>
      <c r="BB23" s="94"/>
    </row>
    <row r="24" spans="1:54" s="89" customFormat="1" ht="15.95" customHeight="1">
      <c r="A24" s="71" t="s">
        <v>53</v>
      </c>
      <c r="B24" s="91"/>
      <c r="C24" s="92"/>
      <c r="D24" s="93"/>
      <c r="E24" s="93"/>
      <c r="F24" s="93"/>
      <c r="G24" s="93"/>
      <c r="H24" s="93"/>
      <c r="I24" s="93"/>
      <c r="J24" s="91" t="s">
        <v>142</v>
      </c>
      <c r="K24" s="92"/>
      <c r="L24" s="93"/>
      <c r="M24" s="93"/>
      <c r="N24" s="93"/>
      <c r="O24" s="93"/>
      <c r="P24" s="93"/>
      <c r="Q24" s="94"/>
      <c r="R24" s="76"/>
      <c r="S24" s="95"/>
      <c r="T24" s="95"/>
      <c r="U24" s="119" t="s">
        <v>85</v>
      </c>
      <c r="V24" s="120"/>
      <c r="W24" s="121"/>
      <c r="X24" s="99" t="s">
        <v>58</v>
      </c>
      <c r="Y24" s="100"/>
      <c r="Z24" s="101"/>
      <c r="AA24" s="102"/>
      <c r="AB24" s="103" t="s">
        <v>94</v>
      </c>
      <c r="AC24" s="104"/>
      <c r="AD24" s="105"/>
      <c r="AE24" s="106"/>
      <c r="AF24" s="107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107"/>
      <c r="AX24" s="93"/>
      <c r="AY24" s="93"/>
      <c r="AZ24" s="93"/>
      <c r="BA24" s="107"/>
      <c r="BB24" s="94"/>
    </row>
    <row r="25" spans="1:54" s="89" customFormat="1" ht="15.95" customHeight="1">
      <c r="A25" s="90" t="s">
        <v>54</v>
      </c>
      <c r="B25" s="91"/>
      <c r="C25" s="92"/>
      <c r="D25" s="93"/>
      <c r="E25" s="93"/>
      <c r="F25" s="93"/>
      <c r="G25" s="93"/>
      <c r="H25" s="93"/>
      <c r="I25" s="93"/>
      <c r="J25" s="91" t="s">
        <v>148</v>
      </c>
      <c r="K25" s="92"/>
      <c r="L25" s="93"/>
      <c r="M25" s="93"/>
      <c r="N25" s="93"/>
      <c r="O25" s="93"/>
      <c r="P25" s="93"/>
      <c r="Q25" s="94"/>
      <c r="R25" s="76"/>
      <c r="S25" s="95"/>
      <c r="T25" s="95"/>
      <c r="U25" s="119" t="s">
        <v>85</v>
      </c>
      <c r="V25" s="120"/>
      <c r="W25" s="121"/>
      <c r="X25" s="99" t="s">
        <v>58</v>
      </c>
      <c r="Y25" s="100"/>
      <c r="Z25" s="101"/>
      <c r="AA25" s="102"/>
      <c r="AB25" s="103" t="s">
        <v>94</v>
      </c>
      <c r="AC25" s="104"/>
      <c r="AD25" s="105"/>
      <c r="AE25" s="106"/>
      <c r="AF25" s="107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107"/>
      <c r="AX25" s="93"/>
      <c r="AY25" s="93"/>
      <c r="AZ25" s="93"/>
      <c r="BA25" s="107"/>
      <c r="BB25" s="94"/>
    </row>
    <row r="26" spans="1:54" s="89" customFormat="1" ht="15.95" customHeight="1">
      <c r="A26" s="71" t="s">
        <v>55</v>
      </c>
      <c r="B26" s="91"/>
      <c r="C26" s="92"/>
      <c r="D26" s="93"/>
      <c r="E26" s="93"/>
      <c r="F26" s="93"/>
      <c r="G26" s="93"/>
      <c r="H26" s="93"/>
      <c r="I26" s="93"/>
      <c r="J26" s="91" t="s">
        <v>143</v>
      </c>
      <c r="K26" s="92"/>
      <c r="L26" s="93"/>
      <c r="M26" s="93"/>
      <c r="N26" s="93"/>
      <c r="O26" s="93"/>
      <c r="P26" s="93"/>
      <c r="Q26" s="94"/>
      <c r="R26" s="76"/>
      <c r="S26" s="95"/>
      <c r="T26" s="95"/>
      <c r="U26" s="119" t="s">
        <v>85</v>
      </c>
      <c r="V26" s="120"/>
      <c r="W26" s="121"/>
      <c r="X26" s="99" t="s">
        <v>58</v>
      </c>
      <c r="Y26" s="100"/>
      <c r="Z26" s="101"/>
      <c r="AA26" s="102"/>
      <c r="AB26" s="103" t="s">
        <v>94</v>
      </c>
      <c r="AC26" s="104"/>
      <c r="AD26" s="105"/>
      <c r="AE26" s="106"/>
      <c r="AF26" s="107"/>
      <c r="AG26" s="93"/>
      <c r="AH26" s="93"/>
      <c r="AI26" s="93"/>
      <c r="AJ26" s="93"/>
      <c r="AK26" s="93"/>
      <c r="AL26" s="93"/>
      <c r="AM26" s="93"/>
      <c r="AN26" s="93"/>
      <c r="AO26" s="93"/>
      <c r="AP26" s="93"/>
      <c r="AQ26" s="93"/>
      <c r="AR26" s="93"/>
      <c r="AS26" s="93"/>
      <c r="AT26" s="93"/>
      <c r="AU26" s="93"/>
      <c r="AV26" s="93"/>
      <c r="AW26" s="107"/>
      <c r="AX26" s="93"/>
      <c r="AY26" s="93"/>
      <c r="AZ26" s="93"/>
      <c r="BA26" s="107"/>
      <c r="BB26" s="94"/>
    </row>
    <row r="27" spans="1:54" s="89" customFormat="1" ht="15.95" customHeight="1">
      <c r="A27" s="90" t="s">
        <v>56</v>
      </c>
      <c r="B27" s="91"/>
      <c r="C27" s="92"/>
      <c r="D27" s="93"/>
      <c r="E27" s="93"/>
      <c r="F27" s="93"/>
      <c r="G27" s="93"/>
      <c r="H27" s="93"/>
      <c r="I27" s="93"/>
      <c r="J27" s="91" t="s">
        <v>144</v>
      </c>
      <c r="K27" s="92"/>
      <c r="L27" s="93"/>
      <c r="M27" s="93"/>
      <c r="N27" s="93"/>
      <c r="O27" s="93"/>
      <c r="P27" s="93"/>
      <c r="Q27" s="94"/>
      <c r="R27" s="76"/>
      <c r="S27" s="95"/>
      <c r="T27" s="95"/>
      <c r="U27" s="119" t="s">
        <v>85</v>
      </c>
      <c r="V27" s="120"/>
      <c r="W27" s="121"/>
      <c r="X27" s="99" t="s">
        <v>58</v>
      </c>
      <c r="Y27" s="100"/>
      <c r="Z27" s="101"/>
      <c r="AA27" s="102"/>
      <c r="AB27" s="103" t="s">
        <v>94</v>
      </c>
      <c r="AC27" s="104"/>
      <c r="AD27" s="105"/>
      <c r="AE27" s="106"/>
      <c r="AF27" s="107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107"/>
      <c r="AX27" s="93"/>
      <c r="AY27" s="93"/>
      <c r="AZ27" s="93"/>
      <c r="BA27" s="107"/>
      <c r="BB27" s="94"/>
    </row>
    <row r="28" spans="1:54" s="89" customFormat="1" ht="15.95" customHeight="1">
      <c r="A28" s="71" t="s">
        <v>57</v>
      </c>
      <c r="B28" s="91"/>
      <c r="C28" s="92"/>
      <c r="D28" s="93"/>
      <c r="E28" s="93"/>
      <c r="F28" s="93"/>
      <c r="G28" s="93"/>
      <c r="H28" s="93"/>
      <c r="I28" s="93"/>
      <c r="J28" s="91" t="s">
        <v>145</v>
      </c>
      <c r="K28" s="92"/>
      <c r="L28" s="93"/>
      <c r="M28" s="93"/>
      <c r="N28" s="93"/>
      <c r="O28" s="93"/>
      <c r="P28" s="93"/>
      <c r="Q28" s="94"/>
      <c r="R28" s="76"/>
      <c r="S28" s="95"/>
      <c r="T28" s="95"/>
      <c r="U28" s="119" t="s">
        <v>85</v>
      </c>
      <c r="V28" s="120"/>
      <c r="W28" s="121"/>
      <c r="X28" s="99" t="s">
        <v>58</v>
      </c>
      <c r="Y28" s="100"/>
      <c r="Z28" s="101"/>
      <c r="AA28" s="102"/>
      <c r="AB28" s="103" t="s">
        <v>94</v>
      </c>
      <c r="AC28" s="104"/>
      <c r="AD28" s="105"/>
      <c r="AE28" s="106"/>
      <c r="AF28" s="107"/>
      <c r="AG28" s="93"/>
      <c r="AH28" s="93"/>
      <c r="AI28" s="93"/>
      <c r="AJ28" s="93"/>
      <c r="AK28" s="93"/>
      <c r="AL28" s="93"/>
      <c r="AM28" s="93"/>
      <c r="AN28" s="93"/>
      <c r="AO28" s="93"/>
      <c r="AP28" s="93"/>
      <c r="AQ28" s="93"/>
      <c r="AR28" s="93"/>
      <c r="AS28" s="93"/>
      <c r="AT28" s="93"/>
      <c r="AU28" s="93"/>
      <c r="AV28" s="93"/>
      <c r="AW28" s="107"/>
      <c r="AX28" s="93"/>
      <c r="AY28" s="93"/>
      <c r="AZ28" s="93"/>
      <c r="BA28" s="107"/>
      <c r="BB28" s="94"/>
    </row>
    <row r="29" spans="1:54" s="89" customFormat="1" ht="15.95" customHeight="1">
      <c r="A29" s="90" t="s">
        <v>59</v>
      </c>
      <c r="B29" s="91"/>
      <c r="C29" s="92"/>
      <c r="D29" s="93"/>
      <c r="E29" s="93"/>
      <c r="F29" s="93"/>
      <c r="G29" s="93"/>
      <c r="H29" s="93"/>
      <c r="I29" s="93"/>
      <c r="J29" s="91" t="s">
        <v>146</v>
      </c>
      <c r="K29" s="92"/>
      <c r="L29" s="93"/>
      <c r="M29" s="93"/>
      <c r="N29" s="93"/>
      <c r="O29" s="93"/>
      <c r="P29" s="93"/>
      <c r="Q29" s="94"/>
      <c r="R29" s="76"/>
      <c r="S29" s="95"/>
      <c r="T29" s="95"/>
      <c r="U29" s="119" t="s">
        <v>85</v>
      </c>
      <c r="V29" s="120"/>
      <c r="W29" s="121"/>
      <c r="X29" s="99" t="s">
        <v>58</v>
      </c>
      <c r="Y29" s="100"/>
      <c r="Z29" s="101"/>
      <c r="AA29" s="102"/>
      <c r="AB29" s="103" t="s">
        <v>94</v>
      </c>
      <c r="AC29" s="104"/>
      <c r="AD29" s="105"/>
      <c r="AE29" s="106"/>
      <c r="AF29" s="107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107"/>
      <c r="AX29" s="93"/>
      <c r="AY29" s="93"/>
      <c r="AZ29" s="93"/>
      <c r="BA29" s="107"/>
      <c r="BB29" s="94"/>
    </row>
    <row r="30" spans="1:54" s="89" customFormat="1" ht="15.95" customHeight="1">
      <c r="A30" s="71" t="s">
        <v>60</v>
      </c>
      <c r="B30" s="91"/>
      <c r="C30" s="92"/>
      <c r="D30" s="93"/>
      <c r="E30" s="93"/>
      <c r="F30" s="93"/>
      <c r="G30" s="93"/>
      <c r="H30" s="93"/>
      <c r="I30" s="93"/>
      <c r="J30" s="91" t="s">
        <v>147</v>
      </c>
      <c r="K30" s="92"/>
      <c r="L30" s="93"/>
      <c r="M30" s="93"/>
      <c r="N30" s="93"/>
      <c r="O30" s="93"/>
      <c r="P30" s="93"/>
      <c r="Q30" s="94"/>
      <c r="R30" s="76"/>
      <c r="S30" s="95"/>
      <c r="T30" s="95"/>
      <c r="U30" s="119" t="s">
        <v>85</v>
      </c>
      <c r="V30" s="120"/>
      <c r="W30" s="121"/>
      <c r="X30" s="99" t="s">
        <v>58</v>
      </c>
      <c r="Y30" s="100"/>
      <c r="Z30" s="101"/>
      <c r="AA30" s="102"/>
      <c r="AB30" s="103" t="s">
        <v>94</v>
      </c>
      <c r="AC30" s="104"/>
      <c r="AD30" s="105"/>
      <c r="AE30" s="106"/>
      <c r="AF30" s="107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107"/>
      <c r="AX30" s="93"/>
      <c r="AY30" s="93"/>
      <c r="AZ30" s="93"/>
      <c r="BA30" s="107"/>
      <c r="BB30" s="94"/>
    </row>
    <row r="31" spans="1:54" s="89" customFormat="1" ht="15.95" customHeight="1">
      <c r="A31" s="90" t="s">
        <v>61</v>
      </c>
      <c r="B31" s="91"/>
      <c r="C31" s="92"/>
      <c r="D31" s="93"/>
      <c r="E31" s="93"/>
      <c r="F31" s="93"/>
      <c r="G31" s="93"/>
      <c r="H31" s="93"/>
      <c r="I31" s="93"/>
      <c r="J31" s="91" t="s">
        <v>149</v>
      </c>
      <c r="K31" s="92"/>
      <c r="L31" s="93"/>
      <c r="M31" s="93"/>
      <c r="N31" s="93"/>
      <c r="O31" s="93"/>
      <c r="P31" s="93"/>
      <c r="Q31" s="94"/>
      <c r="R31" s="76"/>
      <c r="S31" s="95"/>
      <c r="T31" s="95"/>
      <c r="U31" s="119" t="s">
        <v>85</v>
      </c>
      <c r="V31" s="120"/>
      <c r="W31" s="121"/>
      <c r="X31" s="99" t="s">
        <v>58</v>
      </c>
      <c r="Y31" s="100"/>
      <c r="Z31" s="101"/>
      <c r="AA31" s="102"/>
      <c r="AB31" s="103" t="s">
        <v>94</v>
      </c>
      <c r="AC31" s="104"/>
      <c r="AD31" s="105"/>
      <c r="AE31" s="106"/>
      <c r="AF31" s="107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107"/>
      <c r="AX31" s="93"/>
      <c r="AY31" s="93"/>
      <c r="AZ31" s="93"/>
      <c r="BA31" s="107"/>
      <c r="BB31" s="94"/>
    </row>
    <row r="32" spans="1:54" s="89" customFormat="1" ht="15.95" customHeight="1">
      <c r="A32" s="71" t="s">
        <v>62</v>
      </c>
      <c r="B32" s="91"/>
      <c r="C32" s="92"/>
      <c r="D32" s="93"/>
      <c r="E32" s="93"/>
      <c r="F32" s="93"/>
      <c r="G32" s="93"/>
      <c r="H32" s="93"/>
      <c r="I32" s="93"/>
      <c r="J32" s="91" t="s">
        <v>150</v>
      </c>
      <c r="K32" s="92"/>
      <c r="L32" s="93"/>
      <c r="M32" s="93"/>
      <c r="N32" s="93"/>
      <c r="O32" s="93"/>
      <c r="P32" s="93"/>
      <c r="Q32" s="94"/>
      <c r="R32" s="76"/>
      <c r="S32" s="95"/>
      <c r="T32" s="95"/>
      <c r="U32" s="119" t="s">
        <v>85</v>
      </c>
      <c r="V32" s="120"/>
      <c r="W32" s="121"/>
      <c r="X32" s="99" t="s">
        <v>58</v>
      </c>
      <c r="Y32" s="100"/>
      <c r="Z32" s="101"/>
      <c r="AA32" s="102"/>
      <c r="AB32" s="103" t="s">
        <v>94</v>
      </c>
      <c r="AC32" s="104"/>
      <c r="AD32" s="105"/>
      <c r="AE32" s="106"/>
      <c r="AF32" s="107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107"/>
      <c r="AX32" s="93"/>
      <c r="AY32" s="93"/>
      <c r="AZ32" s="93"/>
      <c r="BA32" s="107"/>
      <c r="BB32" s="94"/>
    </row>
    <row r="33" spans="1:54" s="89" customFormat="1" ht="15.95" customHeight="1">
      <c r="A33" s="90" t="s">
        <v>63</v>
      </c>
      <c r="B33" s="91"/>
      <c r="C33" s="92"/>
      <c r="D33" s="93"/>
      <c r="E33" s="93"/>
      <c r="F33" s="93"/>
      <c r="G33" s="93"/>
      <c r="H33" s="93"/>
      <c r="I33" s="93"/>
      <c r="J33" s="91" t="s">
        <v>151</v>
      </c>
      <c r="K33" s="92"/>
      <c r="L33" s="93"/>
      <c r="M33" s="93"/>
      <c r="N33" s="93"/>
      <c r="O33" s="93"/>
      <c r="P33" s="93"/>
      <c r="Q33" s="94"/>
      <c r="R33" s="76"/>
      <c r="S33" s="95"/>
      <c r="T33" s="95"/>
      <c r="U33" s="119" t="s">
        <v>85</v>
      </c>
      <c r="V33" s="120"/>
      <c r="W33" s="121"/>
      <c r="X33" s="99" t="s">
        <v>58</v>
      </c>
      <c r="Y33" s="100"/>
      <c r="Z33" s="101"/>
      <c r="AA33" s="102"/>
      <c r="AB33" s="103" t="s">
        <v>94</v>
      </c>
      <c r="AC33" s="104"/>
      <c r="AD33" s="105"/>
      <c r="AE33" s="106"/>
      <c r="AF33" s="107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107"/>
      <c r="AX33" s="93"/>
      <c r="AY33" s="93"/>
      <c r="AZ33" s="93"/>
      <c r="BA33" s="107"/>
      <c r="BB33" s="94"/>
    </row>
    <row r="34" spans="1:54" s="89" customFormat="1" ht="15.95" customHeight="1">
      <c r="A34" s="71" t="s">
        <v>64</v>
      </c>
      <c r="B34" s="91"/>
      <c r="C34" s="92"/>
      <c r="D34" s="93"/>
      <c r="E34" s="93"/>
      <c r="F34" s="93"/>
      <c r="G34" s="93"/>
      <c r="H34" s="93"/>
      <c r="I34" s="93"/>
      <c r="J34" s="91" t="s">
        <v>152</v>
      </c>
      <c r="K34" s="92"/>
      <c r="L34" s="93"/>
      <c r="M34" s="93"/>
      <c r="N34" s="93"/>
      <c r="O34" s="93"/>
      <c r="P34" s="93"/>
      <c r="Q34" s="94"/>
      <c r="R34" s="76"/>
      <c r="S34" s="95"/>
      <c r="T34" s="95"/>
      <c r="U34" s="119" t="s">
        <v>85</v>
      </c>
      <c r="V34" s="120"/>
      <c r="W34" s="121"/>
      <c r="X34" s="99" t="s">
        <v>58</v>
      </c>
      <c r="Y34" s="100"/>
      <c r="Z34" s="101"/>
      <c r="AA34" s="102"/>
      <c r="AB34" s="103" t="s">
        <v>94</v>
      </c>
      <c r="AC34" s="104"/>
      <c r="AD34" s="105"/>
      <c r="AE34" s="106"/>
      <c r="AF34" s="107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107"/>
      <c r="AX34" s="93"/>
      <c r="AY34" s="93"/>
      <c r="AZ34" s="93"/>
      <c r="BA34" s="107"/>
      <c r="BB34" s="94"/>
    </row>
    <row r="35" spans="1:54" s="89" customFormat="1" ht="15.95" customHeight="1">
      <c r="A35" s="90" t="s">
        <v>65</v>
      </c>
      <c r="B35" s="91"/>
      <c r="C35" s="92"/>
      <c r="D35" s="93"/>
      <c r="E35" s="93"/>
      <c r="F35" s="93"/>
      <c r="G35" s="93"/>
      <c r="H35" s="93"/>
      <c r="I35" s="93"/>
      <c r="J35" s="91" t="s">
        <v>153</v>
      </c>
      <c r="K35" s="92"/>
      <c r="L35" s="93"/>
      <c r="M35" s="93"/>
      <c r="N35" s="93"/>
      <c r="O35" s="93"/>
      <c r="P35" s="93"/>
      <c r="Q35" s="94"/>
      <c r="R35" s="76"/>
      <c r="S35" s="95"/>
      <c r="T35" s="95"/>
      <c r="U35" s="119" t="s">
        <v>85</v>
      </c>
      <c r="V35" s="120"/>
      <c r="W35" s="121"/>
      <c r="X35" s="99" t="s">
        <v>32</v>
      </c>
      <c r="Y35" s="100"/>
      <c r="Z35" s="101"/>
      <c r="AA35" s="102"/>
      <c r="AB35" s="103" t="s">
        <v>82</v>
      </c>
      <c r="AC35" s="104"/>
      <c r="AD35" s="105"/>
      <c r="AE35" s="106"/>
      <c r="AF35" s="107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107"/>
      <c r="AX35" s="93"/>
      <c r="AY35" s="93"/>
      <c r="AZ35" s="93"/>
      <c r="BA35" s="107"/>
      <c r="BB35" s="94"/>
    </row>
    <row r="36" spans="1:54" s="89" customFormat="1" ht="15.95" customHeight="1">
      <c r="A36" s="71" t="s">
        <v>66</v>
      </c>
      <c r="B36" s="91"/>
      <c r="C36" s="92"/>
      <c r="D36" s="93"/>
      <c r="E36" s="93"/>
      <c r="F36" s="93"/>
      <c r="G36" s="93"/>
      <c r="H36" s="93"/>
      <c r="I36" s="93"/>
      <c r="J36" s="91" t="s">
        <v>154</v>
      </c>
      <c r="K36" s="92"/>
      <c r="L36" s="93"/>
      <c r="M36" s="93"/>
      <c r="N36" s="93"/>
      <c r="O36" s="93"/>
      <c r="P36" s="93"/>
      <c r="Q36" s="94"/>
      <c r="R36" s="76"/>
      <c r="S36" s="95"/>
      <c r="T36" s="95"/>
      <c r="U36" s="119" t="s">
        <v>85</v>
      </c>
      <c r="V36" s="120"/>
      <c r="W36" s="121"/>
      <c r="X36" s="99" t="s">
        <v>36</v>
      </c>
      <c r="Y36" s="100"/>
      <c r="Z36" s="101"/>
      <c r="AA36" s="102"/>
      <c r="AB36" s="103" t="s">
        <v>44</v>
      </c>
      <c r="AC36" s="104"/>
      <c r="AD36" s="105"/>
      <c r="AE36" s="106"/>
      <c r="AF36" s="107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107"/>
      <c r="AX36" s="93"/>
      <c r="AY36" s="93"/>
      <c r="AZ36" s="93"/>
      <c r="BA36" s="107"/>
      <c r="BB36" s="94"/>
    </row>
    <row r="37" spans="1:54" s="89" customFormat="1" ht="15.95" customHeight="1">
      <c r="A37" s="90" t="s">
        <v>67</v>
      </c>
      <c r="B37" s="91"/>
      <c r="C37" s="92"/>
      <c r="D37" s="93"/>
      <c r="E37" s="93"/>
      <c r="F37" s="93"/>
      <c r="G37" s="93"/>
      <c r="H37" s="93"/>
      <c r="I37" s="93"/>
      <c r="J37" s="91" t="s">
        <v>155</v>
      </c>
      <c r="K37" s="92"/>
      <c r="L37" s="93"/>
      <c r="M37" s="93"/>
      <c r="N37" s="93"/>
      <c r="O37" s="93"/>
      <c r="P37" s="93"/>
      <c r="Q37" s="94"/>
      <c r="R37" s="76"/>
      <c r="S37" s="95"/>
      <c r="T37" s="95"/>
      <c r="U37" s="119" t="s">
        <v>85</v>
      </c>
      <c r="V37" s="120"/>
      <c r="W37" s="121"/>
      <c r="X37" s="99" t="s">
        <v>32</v>
      </c>
      <c r="Y37" s="100"/>
      <c r="Z37" s="101"/>
      <c r="AA37" s="102"/>
      <c r="AB37" s="103" t="s">
        <v>82</v>
      </c>
      <c r="AC37" s="104"/>
      <c r="AD37" s="105"/>
      <c r="AE37" s="106"/>
      <c r="AF37" s="107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107"/>
      <c r="AX37" s="93"/>
      <c r="AY37" s="93"/>
      <c r="AZ37" s="93"/>
      <c r="BA37" s="107"/>
      <c r="BB37" s="94"/>
    </row>
    <row r="38" spans="1:54" s="89" customFormat="1" ht="15.95" customHeight="1">
      <c r="A38" s="71" t="s">
        <v>68</v>
      </c>
      <c r="B38" s="91"/>
      <c r="C38" s="92"/>
      <c r="D38" s="93"/>
      <c r="E38" s="93"/>
      <c r="F38" s="93"/>
      <c r="G38" s="93"/>
      <c r="H38" s="93"/>
      <c r="I38" s="93"/>
      <c r="J38" s="91" t="s">
        <v>156</v>
      </c>
      <c r="K38" s="92"/>
      <c r="L38" s="93"/>
      <c r="M38" s="93"/>
      <c r="N38" s="93"/>
      <c r="O38" s="93"/>
      <c r="P38" s="93"/>
      <c r="Q38" s="94"/>
      <c r="R38" s="76"/>
      <c r="S38" s="95"/>
      <c r="T38" s="95"/>
      <c r="U38" s="119" t="s">
        <v>85</v>
      </c>
      <c r="V38" s="120"/>
      <c r="W38" s="121"/>
      <c r="X38" s="99" t="s">
        <v>58</v>
      </c>
      <c r="Y38" s="100"/>
      <c r="Z38" s="101"/>
      <c r="AA38" s="102"/>
      <c r="AB38" s="103" t="s">
        <v>94</v>
      </c>
      <c r="AC38" s="104"/>
      <c r="AD38" s="105"/>
      <c r="AE38" s="106"/>
      <c r="AF38" s="107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93"/>
      <c r="AS38" s="93"/>
      <c r="AT38" s="93"/>
      <c r="AU38" s="93"/>
      <c r="AV38" s="93"/>
      <c r="AW38" s="107"/>
      <c r="AX38" s="93"/>
      <c r="AY38" s="93"/>
      <c r="AZ38" s="93"/>
      <c r="BA38" s="107"/>
      <c r="BB38" s="94"/>
    </row>
  </sheetData>
  <mergeCells count="26">
    <mergeCell ref="U26:W26"/>
    <mergeCell ref="A1:H3"/>
    <mergeCell ref="AI2:AL3"/>
    <mergeCell ref="AM2:AP3"/>
    <mergeCell ref="U7:W7"/>
    <mergeCell ref="U8:W8"/>
    <mergeCell ref="U9:W9"/>
    <mergeCell ref="U11:W11"/>
    <mergeCell ref="U19:W19"/>
    <mergeCell ref="U20:W20"/>
    <mergeCell ref="U21:W21"/>
    <mergeCell ref="U22:W22"/>
    <mergeCell ref="U24:W24"/>
    <mergeCell ref="U25:W25"/>
    <mergeCell ref="U38:W38"/>
    <mergeCell ref="U27:W27"/>
    <mergeCell ref="U28:W28"/>
    <mergeCell ref="U29:W29"/>
    <mergeCell ref="U30:W30"/>
    <mergeCell ref="U31:W31"/>
    <mergeCell ref="U32:W32"/>
    <mergeCell ref="U33:W33"/>
    <mergeCell ref="U34:W34"/>
    <mergeCell ref="U35:W35"/>
    <mergeCell ref="U36:W36"/>
    <mergeCell ref="U37:W37"/>
  </mergeCells>
  <hyperlinks>
    <hyperlink ref="A1:H3" location="テーブル一覧!A1" display="ＤＢ定義図" xr:uid="{00000000-0004-0000-13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C8"/>
  <sheetViews>
    <sheetView showGridLines="0" view="pageBreakPreview" topLeftCell="J1" zoomScaleSheetLayoutView="100" workbookViewId="0">
      <selection activeCell="J1287" sqref="A9:XFD1287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157</v>
      </c>
      <c r="R2" s="45"/>
      <c r="S2" s="45"/>
      <c r="T2" s="45"/>
      <c r="U2" s="45"/>
      <c r="V2" s="45"/>
      <c r="W2" s="45"/>
      <c r="X2" s="45"/>
      <c r="Y2" s="48"/>
      <c r="Z2" s="43" t="s">
        <v>157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158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114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</sheetData>
  <mergeCells count="5">
    <mergeCell ref="A1:H3"/>
    <mergeCell ref="AI2:AL3"/>
    <mergeCell ref="AM2:AP3"/>
    <mergeCell ref="U7:W7"/>
    <mergeCell ref="U8:W8"/>
  </mergeCells>
  <hyperlinks>
    <hyperlink ref="A1:H3" location="テーブル一覧!A1" display="ＤＢ定義図" xr:uid="{00000000-0004-0000-14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C9"/>
  <sheetViews>
    <sheetView showGridLines="0" view="pageBreakPreview" zoomScaleSheetLayoutView="100" workbookViewId="0">
      <selection sqref="A1:H3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159</v>
      </c>
      <c r="R2" s="45"/>
      <c r="S2" s="45"/>
      <c r="T2" s="45"/>
      <c r="U2" s="45"/>
      <c r="V2" s="45"/>
      <c r="W2" s="45"/>
      <c r="X2" s="45"/>
      <c r="Y2" s="48"/>
      <c r="Z2" s="43" t="s">
        <v>159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158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36</v>
      </c>
      <c r="Y7" s="100"/>
      <c r="Z7" s="101"/>
      <c r="AA7" s="102"/>
      <c r="AB7" s="103" t="s">
        <v>43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73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91"/>
      <c r="C9" s="92"/>
      <c r="D9" s="93"/>
      <c r="E9" s="93"/>
      <c r="F9" s="93"/>
      <c r="G9" s="93"/>
      <c r="H9" s="93"/>
      <c r="I9" s="93"/>
      <c r="J9" s="91" t="s">
        <v>116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19" t="s">
        <v>85</v>
      </c>
      <c r="V9" s="120"/>
      <c r="W9" s="121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</sheetData>
  <mergeCells count="6">
    <mergeCell ref="A1:H3"/>
    <mergeCell ref="AI2:AL3"/>
    <mergeCell ref="AM2:AP3"/>
    <mergeCell ref="U7:W7"/>
    <mergeCell ref="U9:W9"/>
    <mergeCell ref="U8:W8"/>
  </mergeCells>
  <hyperlinks>
    <hyperlink ref="A1:H3" location="テーブル一覧!A1" display="ＤＢ定義図" xr:uid="{00000000-0004-0000-15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70FD-3B89-416A-81F7-C8277532D16D}">
  <sheetPr codeName="Sheet23"/>
  <dimension ref="A1:BC12"/>
  <sheetViews>
    <sheetView showGridLines="0" view="pageBreakPreview" zoomScaleSheetLayoutView="100" workbookViewId="0">
      <selection activeCell="AB6" sqref="AB6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193</v>
      </c>
      <c r="R2" s="45"/>
      <c r="S2" s="45"/>
      <c r="T2" s="45"/>
      <c r="U2" s="45"/>
      <c r="V2" s="45"/>
      <c r="W2" s="45"/>
      <c r="X2" s="45"/>
      <c r="Y2" s="48"/>
      <c r="Z2" s="47" t="s">
        <v>193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38</v>
      </c>
      <c r="Y8" s="100"/>
      <c r="Z8" s="101"/>
      <c r="AA8" s="102"/>
      <c r="AB8" s="103" t="s">
        <v>39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91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19" t="s">
        <v>85</v>
      </c>
      <c r="V9" s="120"/>
      <c r="W9" s="121"/>
      <c r="X9" s="99" t="s">
        <v>38</v>
      </c>
      <c r="Y9" s="100"/>
      <c r="Z9" s="101"/>
      <c r="AA9" s="102"/>
      <c r="AB9" s="103" t="s">
        <v>39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90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4"/>
      <c r="R10" s="76"/>
      <c r="S10" s="95"/>
      <c r="T10" s="95"/>
      <c r="U10" s="119" t="s">
        <v>85</v>
      </c>
      <c r="V10" s="120"/>
      <c r="W10" s="121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154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19"/>
      <c r="V11" s="120"/>
      <c r="W11" s="121"/>
      <c r="X11" s="99" t="s">
        <v>36</v>
      </c>
      <c r="Y11" s="100"/>
      <c r="Z11" s="101"/>
      <c r="AA11" s="102"/>
      <c r="AB11" s="103" t="s">
        <v>44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90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116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19"/>
      <c r="V12" s="120"/>
      <c r="W12" s="121"/>
      <c r="X12" s="99" t="s">
        <v>32</v>
      </c>
      <c r="Y12" s="100"/>
      <c r="Z12" s="101"/>
      <c r="AA12" s="102"/>
      <c r="AB12" s="103" t="s">
        <v>82</v>
      </c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</sheetData>
  <mergeCells count="9">
    <mergeCell ref="U10:W10"/>
    <mergeCell ref="U11:W11"/>
    <mergeCell ref="U12:W12"/>
    <mergeCell ref="A1:H3"/>
    <mergeCell ref="AI2:AL3"/>
    <mergeCell ref="AM2:AP3"/>
    <mergeCell ref="U7:W7"/>
    <mergeCell ref="U8:W8"/>
    <mergeCell ref="U9:W9"/>
  </mergeCells>
  <phoneticPr fontId="4" type="noConversion"/>
  <hyperlinks>
    <hyperlink ref="A1:H3" location="テーブル一覧!A1" display="ＤＢ定義図" xr:uid="{4592AB57-B64A-4B7A-9F07-CED41B906378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0DAD6-7505-40CE-9BAD-0218777CD885}">
  <sheetPr codeName="Sheet24"/>
  <dimension ref="A1:BC9"/>
  <sheetViews>
    <sheetView showGridLines="0" view="pageBreakPreview" zoomScaleSheetLayoutView="100" workbookViewId="0">
      <selection activeCell="U8" sqref="U8:W8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194</v>
      </c>
      <c r="R2" s="45"/>
      <c r="S2" s="45"/>
      <c r="T2" s="45"/>
      <c r="U2" s="45"/>
      <c r="V2" s="45"/>
      <c r="W2" s="45"/>
      <c r="X2" s="45"/>
      <c r="Y2" s="48"/>
      <c r="Z2" s="47" t="s">
        <v>194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71" t="s">
        <v>195</v>
      </c>
      <c r="B7" s="91"/>
      <c r="C7" s="92"/>
      <c r="D7" s="93"/>
      <c r="E7" s="93"/>
      <c r="F7" s="93"/>
      <c r="G7" s="93"/>
      <c r="H7" s="93"/>
      <c r="I7" s="93"/>
      <c r="J7" s="91" t="s">
        <v>114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19" t="s">
        <v>85</v>
      </c>
      <c r="V7" s="120"/>
      <c r="W7" s="121"/>
      <c r="X7" s="99" t="s">
        <v>38</v>
      </c>
      <c r="Y7" s="100"/>
      <c r="Z7" s="101"/>
      <c r="AA7" s="102"/>
      <c r="AB7" s="103" t="s">
        <v>39</v>
      </c>
      <c r="AC7" s="104"/>
      <c r="AD7" s="105"/>
      <c r="AE7" s="106"/>
      <c r="AF7" s="107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115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9" t="s">
        <v>85</v>
      </c>
      <c r="V8" s="120"/>
      <c r="W8" s="121"/>
      <c r="X8" s="99" t="s">
        <v>36</v>
      </c>
      <c r="Y8" s="100"/>
      <c r="Z8" s="101"/>
      <c r="AA8" s="102"/>
      <c r="AB8" s="103" t="s">
        <v>43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71" t="s">
        <v>35</v>
      </c>
      <c r="B9" s="91"/>
      <c r="C9" s="92"/>
      <c r="D9" s="93"/>
      <c r="E9" s="93"/>
      <c r="F9" s="93"/>
      <c r="G9" s="93"/>
      <c r="H9" s="93"/>
      <c r="I9" s="93"/>
      <c r="J9" s="91" t="s">
        <v>116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19"/>
      <c r="V9" s="120"/>
      <c r="W9" s="121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</sheetData>
  <mergeCells count="6">
    <mergeCell ref="U8:W8"/>
    <mergeCell ref="U9:W9"/>
    <mergeCell ref="A1:H3"/>
    <mergeCell ref="AI2:AL3"/>
    <mergeCell ref="AM2:AP3"/>
    <mergeCell ref="U7:W7"/>
  </mergeCells>
  <phoneticPr fontId="4" type="noConversion"/>
  <hyperlinks>
    <hyperlink ref="A1:H3" location="テーブル一覧!A1" display="ＤＢ定義図" xr:uid="{BAF13DBE-CB95-4CB1-84D6-8DE2B147137D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08A27-D8D5-4511-BD87-FE2B594BD63F}">
  <sheetPr codeName="Sheet25"/>
  <dimension ref="A1:BC10"/>
  <sheetViews>
    <sheetView showGridLines="0" tabSelected="1" view="pageBreakPreview" zoomScaleSheetLayoutView="100" workbookViewId="0">
      <selection activeCell="AC6" sqref="AC6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22" t="s">
        <v>14</v>
      </c>
      <c r="B1" s="123"/>
      <c r="C1" s="123"/>
      <c r="D1" s="123"/>
      <c r="E1" s="123"/>
      <c r="F1" s="123"/>
      <c r="G1" s="123"/>
      <c r="H1" s="124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25"/>
      <c r="B2" s="126"/>
      <c r="C2" s="126"/>
      <c r="D2" s="126"/>
      <c r="E2" s="126"/>
      <c r="F2" s="126"/>
      <c r="G2" s="126"/>
      <c r="H2" s="127"/>
      <c r="I2" s="43"/>
      <c r="J2" s="44"/>
      <c r="K2" s="44"/>
      <c r="L2" s="45"/>
      <c r="M2" s="45"/>
      <c r="N2" s="46"/>
      <c r="O2" s="45"/>
      <c r="P2" s="45"/>
      <c r="Q2" s="47" t="s">
        <v>196</v>
      </c>
      <c r="R2" s="45"/>
      <c r="S2" s="45"/>
      <c r="T2" s="45"/>
      <c r="U2" s="45"/>
      <c r="V2" s="45"/>
      <c r="W2" s="45"/>
      <c r="X2" s="45"/>
      <c r="Y2" s="48"/>
      <c r="Z2" s="47" t="s">
        <v>196</v>
      </c>
      <c r="AA2" s="49"/>
      <c r="AB2" s="49"/>
      <c r="AC2" s="49"/>
      <c r="AD2" s="49"/>
      <c r="AE2" s="50"/>
      <c r="AF2" s="50"/>
      <c r="AG2" s="50"/>
      <c r="AH2" s="50"/>
      <c r="AI2" s="128" t="s">
        <v>101</v>
      </c>
      <c r="AJ2" s="129"/>
      <c r="AK2" s="129"/>
      <c r="AL2" s="130"/>
      <c r="AM2" s="128"/>
      <c r="AN2" s="129"/>
      <c r="AO2" s="129"/>
      <c r="AP2" s="130"/>
    </row>
    <row r="3" spans="1:55" ht="15.95" customHeight="1">
      <c r="A3" s="125"/>
      <c r="B3" s="126"/>
      <c r="C3" s="126"/>
      <c r="D3" s="126"/>
      <c r="E3" s="126"/>
      <c r="F3" s="126"/>
      <c r="G3" s="126"/>
      <c r="H3" s="127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31"/>
      <c r="AJ3" s="132"/>
      <c r="AK3" s="132"/>
      <c r="AL3" s="133"/>
      <c r="AM3" s="131"/>
      <c r="AN3" s="132"/>
      <c r="AO3" s="132"/>
      <c r="AP3" s="133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/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71" t="s">
        <v>195</v>
      </c>
      <c r="B7" s="91"/>
      <c r="C7" s="92"/>
      <c r="D7" s="93"/>
      <c r="E7" s="93"/>
      <c r="F7" s="93"/>
      <c r="G7" s="93"/>
      <c r="H7" s="93"/>
      <c r="I7" s="93"/>
      <c r="J7" s="91" t="s">
        <v>73</v>
      </c>
      <c r="K7" s="92"/>
      <c r="L7" s="93"/>
      <c r="M7" s="93"/>
      <c r="N7" s="93"/>
      <c r="O7" s="93"/>
      <c r="P7" s="93"/>
      <c r="Q7" s="94"/>
      <c r="R7" s="76" t="s">
        <v>31</v>
      </c>
      <c r="S7" s="95"/>
      <c r="T7" s="95"/>
      <c r="U7" s="119"/>
      <c r="V7" s="120"/>
      <c r="W7" s="121"/>
      <c r="X7" s="99" t="s">
        <v>38</v>
      </c>
      <c r="Y7" s="100"/>
      <c r="Z7" s="101"/>
      <c r="AA7" s="102"/>
      <c r="AB7" s="103" t="s">
        <v>39</v>
      </c>
      <c r="AC7" s="104"/>
      <c r="AD7" s="105"/>
      <c r="AE7" s="106"/>
      <c r="AF7" s="107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197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14"/>
      <c r="V8" s="115"/>
      <c r="W8" s="116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71" t="s">
        <v>35</v>
      </c>
      <c r="B9" s="91"/>
      <c r="C9" s="92"/>
      <c r="D9" s="93"/>
      <c r="E9" s="93"/>
      <c r="F9" s="93"/>
      <c r="G9" s="93"/>
      <c r="H9" s="93"/>
      <c r="I9" s="93"/>
      <c r="J9" s="91" t="s">
        <v>154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19"/>
      <c r="V9" s="120"/>
      <c r="W9" s="121"/>
      <c r="X9" s="99" t="s">
        <v>36</v>
      </c>
      <c r="Y9" s="100"/>
      <c r="Z9" s="101"/>
      <c r="AA9" s="102"/>
      <c r="AB9" s="103" t="s">
        <v>44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198</v>
      </c>
      <c r="K10" s="92"/>
      <c r="L10" s="93"/>
      <c r="M10" s="93"/>
      <c r="N10" s="93"/>
      <c r="O10" s="93"/>
      <c r="P10" s="93"/>
      <c r="Q10" s="94"/>
      <c r="R10" s="76"/>
      <c r="S10" s="95"/>
      <c r="T10" s="95"/>
      <c r="U10" s="119" t="s">
        <v>85</v>
      </c>
      <c r="V10" s="120"/>
      <c r="W10" s="121"/>
      <c r="X10" s="99" t="s">
        <v>58</v>
      </c>
      <c r="Y10" s="100"/>
      <c r="Z10" s="101"/>
      <c r="AA10" s="102"/>
      <c r="AB10" s="103" t="s">
        <v>94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</sheetData>
  <mergeCells count="6">
    <mergeCell ref="A1:H3"/>
    <mergeCell ref="AI2:AL3"/>
    <mergeCell ref="AM2:AP3"/>
    <mergeCell ref="U7:W7"/>
    <mergeCell ref="U9:W9"/>
    <mergeCell ref="U10:W10"/>
  </mergeCells>
  <phoneticPr fontId="4" type="noConversion"/>
  <hyperlinks>
    <hyperlink ref="A1:H3" location="テーブル一覧!A1" display="ＤＢ定義図" xr:uid="{AF10F3B2-57F3-4B28-9C98-7A1960D7DCF5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46</vt:i4>
      </vt:variant>
    </vt:vector>
  </HeadingPairs>
  <TitlesOfParts>
    <vt:vector size="71" baseType="lpstr">
      <vt:lpstr>表紙</vt:lpstr>
      <vt:lpstr>テーブル一覧</vt:lpstr>
      <vt:lpstr>麦品_catalog_product_entity</vt:lpstr>
      <vt:lpstr>麦品_c_p_e_datetime</vt:lpstr>
      <vt:lpstr>麦品_c_p_e_decimal</vt:lpstr>
      <vt:lpstr>麦品_c_p_e_int</vt:lpstr>
      <vt:lpstr>麦品_c_p_e_text</vt:lpstr>
      <vt:lpstr>麦品_c_p_e_varchar</vt:lpstr>
      <vt:lpstr>麦米_eav_entity_store</vt:lpstr>
      <vt:lpstr>麦米_eav_entity_type</vt:lpstr>
      <vt:lpstr>麦米_eav_entity</vt:lpstr>
      <vt:lpstr>麦米_eav_entity_datetime</vt:lpstr>
      <vt:lpstr>麦米_eav_entity_decimal</vt:lpstr>
      <vt:lpstr>麦米_eav_entity_int</vt:lpstr>
      <vt:lpstr>麦米_eav_entity_text</vt:lpstr>
      <vt:lpstr>麦米_eav_entity_varchar</vt:lpstr>
      <vt:lpstr>麦米_eav_attribute_set</vt:lpstr>
      <vt:lpstr>麦米_eav_attribute_group</vt:lpstr>
      <vt:lpstr>麦米_eav_entity_attribute</vt:lpstr>
      <vt:lpstr>麦米_eav_attribute</vt:lpstr>
      <vt:lpstr>麦米_eav_attribute_option</vt:lpstr>
      <vt:lpstr>麦米_eav_attribute_option_value</vt:lpstr>
      <vt:lpstr>麦品_c_p_e_gallery</vt:lpstr>
      <vt:lpstr>麦品_c_p_e_media_gallery</vt:lpstr>
      <vt:lpstr>麦品_c_p_e_media_gallery_value</vt:lpstr>
      <vt:lpstr>麦品_c_p_e_datetime!Print_Area</vt:lpstr>
      <vt:lpstr>麦品_c_p_e_decimal!Print_Area</vt:lpstr>
      <vt:lpstr>麦品_c_p_e_gallery!Print_Area</vt:lpstr>
      <vt:lpstr>麦品_c_p_e_int!Print_Area</vt:lpstr>
      <vt:lpstr>麦品_c_p_e_media_gallery!Print_Area</vt:lpstr>
      <vt:lpstr>麦品_c_p_e_media_gallery_value!Print_Area</vt:lpstr>
      <vt:lpstr>麦品_c_p_e_text!Print_Area</vt:lpstr>
      <vt:lpstr>麦品_c_p_e_varchar!Print_Area</vt:lpstr>
      <vt:lpstr>麦品_catalog_product_entity!Print_Area</vt:lpstr>
      <vt:lpstr>麦米_eav_attribute!Print_Area</vt:lpstr>
      <vt:lpstr>麦米_eav_attribute_group!Print_Area</vt:lpstr>
      <vt:lpstr>麦米_eav_attribute_option!Print_Area</vt:lpstr>
      <vt:lpstr>麦米_eav_attribute_option_value!Print_Area</vt:lpstr>
      <vt:lpstr>麦米_eav_attribute_set!Print_Area</vt:lpstr>
      <vt:lpstr>麦米_eav_entity!Print_Area</vt:lpstr>
      <vt:lpstr>麦米_eav_entity_attribute!Print_Area</vt:lpstr>
      <vt:lpstr>麦米_eav_entity_datetime!Print_Area</vt:lpstr>
      <vt:lpstr>麦米_eav_entity_decimal!Print_Area</vt:lpstr>
      <vt:lpstr>麦米_eav_entity_int!Print_Area</vt:lpstr>
      <vt:lpstr>麦米_eav_entity_store!Print_Area</vt:lpstr>
      <vt:lpstr>麦米_eav_entity_text!Print_Area</vt:lpstr>
      <vt:lpstr>麦米_eav_entity_type!Print_Area</vt:lpstr>
      <vt:lpstr>麦米_eav_entity_varchar!Print_Area</vt:lpstr>
      <vt:lpstr>麦品_c_p_e_datetime!Print_Titles</vt:lpstr>
      <vt:lpstr>麦品_c_p_e_decimal!Print_Titles</vt:lpstr>
      <vt:lpstr>麦品_c_p_e_gallery!Print_Titles</vt:lpstr>
      <vt:lpstr>麦品_c_p_e_int!Print_Titles</vt:lpstr>
      <vt:lpstr>麦品_c_p_e_media_gallery!Print_Titles</vt:lpstr>
      <vt:lpstr>麦品_c_p_e_media_gallery_value!Print_Titles</vt:lpstr>
      <vt:lpstr>麦品_c_p_e_text!Print_Titles</vt:lpstr>
      <vt:lpstr>麦品_c_p_e_varchar!Print_Titles</vt:lpstr>
      <vt:lpstr>麦品_catalog_product_entity!Print_Titles</vt:lpstr>
      <vt:lpstr>麦米_eav_attribute!Print_Titles</vt:lpstr>
      <vt:lpstr>麦米_eav_attribute_group!Print_Titles</vt:lpstr>
      <vt:lpstr>麦米_eav_attribute_option!Print_Titles</vt:lpstr>
      <vt:lpstr>麦米_eav_attribute_option_value!Print_Titles</vt:lpstr>
      <vt:lpstr>麦米_eav_attribute_set!Print_Titles</vt:lpstr>
      <vt:lpstr>麦米_eav_entity!Print_Titles</vt:lpstr>
      <vt:lpstr>麦米_eav_entity_attribute!Print_Titles</vt:lpstr>
      <vt:lpstr>麦米_eav_entity_datetime!Print_Titles</vt:lpstr>
      <vt:lpstr>麦米_eav_entity_decimal!Print_Titles</vt:lpstr>
      <vt:lpstr>麦米_eav_entity_int!Print_Titles</vt:lpstr>
      <vt:lpstr>麦米_eav_entity_store!Print_Titles</vt:lpstr>
      <vt:lpstr>麦米_eav_entity_text!Print_Titles</vt:lpstr>
      <vt:lpstr>麦米_eav_entity_type!Print_Titles</vt:lpstr>
      <vt:lpstr>麦米_eav_entity_varchar!Print_Titles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Fujiwara</dc:creator>
  <cp:lastModifiedBy>AnhPT</cp:lastModifiedBy>
  <cp:lastPrinted>2019-11-22T07:20:49Z</cp:lastPrinted>
  <dcterms:created xsi:type="dcterms:W3CDTF">2000-02-14T10:07:54Z</dcterms:created>
  <dcterms:modified xsi:type="dcterms:W3CDTF">2020-03-25T08:15:50Z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c3f9ddb2-f39f-4922-b288-301519abf4dd</vt:lpwstr>
  </property>
</Properties>
</file>